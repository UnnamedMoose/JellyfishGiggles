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v\Desktop\Project Jelly (MSc Evan)\Val_Data\"/>
    </mc:Choice>
  </mc:AlternateContent>
  <xr:revisionPtr revIDLastSave="0" documentId="13_ncr:1_{34D2BC3B-ED9E-40D7-9271-4EB5C6C72571}" xr6:coauthVersionLast="47" xr6:coauthVersionMax="47" xr10:uidLastSave="{00000000-0000-0000-0000-000000000000}"/>
  <bookViews>
    <workbookView xWindow="-108" yWindow="-108" windowWidth="23256" windowHeight="13176" activeTab="2" xr2:uid="{75F4A91D-F31D-41C8-AEEB-0468E1985644}"/>
  </bookViews>
  <sheets>
    <sheet name="Exp Results" sheetId="1" r:id="rId1"/>
    <sheet name="CFD Results" sheetId="2" r:id="rId2"/>
    <sheet name="Scal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I10" i="3"/>
  <c r="I11" i="3"/>
  <c r="I12" i="3"/>
  <c r="I13" i="3"/>
  <c r="I14" i="3"/>
  <c r="I15" i="3"/>
  <c r="I16" i="3"/>
  <c r="I17" i="3"/>
  <c r="I18" i="3"/>
  <c r="I8" i="3"/>
  <c r="H9" i="3"/>
  <c r="H10" i="3"/>
  <c r="H11" i="3"/>
  <c r="H12" i="3"/>
  <c r="H13" i="3"/>
  <c r="H14" i="3"/>
  <c r="H15" i="3"/>
  <c r="H16" i="3"/>
  <c r="H17" i="3"/>
  <c r="H18" i="3"/>
  <c r="H8" i="3"/>
  <c r="G10" i="3"/>
  <c r="G11" i="3"/>
  <c r="G12" i="3"/>
  <c r="G13" i="3"/>
  <c r="G14" i="3"/>
  <c r="G15" i="3"/>
  <c r="G16" i="3"/>
  <c r="G17" i="3"/>
  <c r="G18" i="3"/>
  <c r="G9" i="3"/>
  <c r="G5" i="3"/>
  <c r="K5" i="3"/>
  <c r="M7" i="3"/>
  <c r="I5" i="3"/>
  <c r="C7" i="3"/>
  <c r="C11" i="3"/>
  <c r="C5" i="3"/>
  <c r="D106" i="2"/>
  <c r="D98" i="2"/>
  <c r="D99" i="2"/>
  <c r="D100" i="2"/>
  <c r="D101" i="2"/>
  <c r="D102" i="2"/>
  <c r="D103" i="2"/>
  <c r="D104" i="2"/>
  <c r="D105" i="2"/>
  <c r="D97" i="2"/>
  <c r="S5" i="1"/>
  <c r="S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  <c r="S2" i="1"/>
  <c r="U2" i="1" s="1"/>
  <c r="P15" i="1"/>
  <c r="O4" i="1" l="1"/>
  <c r="O5" i="1"/>
  <c r="O13" i="1"/>
  <c r="O21" i="1"/>
  <c r="O29" i="1"/>
  <c r="O37" i="1"/>
  <c r="O45" i="1"/>
  <c r="O14" i="1"/>
  <c r="O22" i="1"/>
  <c r="O30" i="1"/>
  <c r="O38" i="1"/>
  <c r="O23" i="1"/>
  <c r="O47" i="1"/>
  <c r="O6" i="1"/>
  <c r="O7" i="1"/>
  <c r="O8" i="1"/>
  <c r="O16" i="1"/>
  <c r="O24" i="1"/>
  <c r="O32" i="1"/>
  <c r="O40" i="1"/>
  <c r="O48" i="1"/>
  <c r="O41" i="1"/>
  <c r="O46" i="1"/>
  <c r="O31" i="1"/>
  <c r="O9" i="1"/>
  <c r="O17" i="1"/>
  <c r="O25" i="1"/>
  <c r="O33" i="1"/>
  <c r="O49" i="1"/>
  <c r="O15" i="1"/>
  <c r="O39" i="1"/>
  <c r="O10" i="1"/>
  <c r="O18" i="1"/>
  <c r="O26" i="1"/>
  <c r="O34" i="1"/>
  <c r="O42" i="1"/>
  <c r="O3" i="1"/>
  <c r="O19" i="1"/>
  <c r="O27" i="1"/>
  <c r="O35" i="1"/>
  <c r="O43" i="1"/>
  <c r="O12" i="1"/>
  <c r="O20" i="1"/>
  <c r="O28" i="1"/>
  <c r="O36" i="1"/>
  <c r="O44" i="1"/>
  <c r="O11" i="1"/>
</calcChain>
</file>

<file path=xl/sharedStrings.xml><?xml version="1.0" encoding="utf-8"?>
<sst xmlns="http://schemas.openxmlformats.org/spreadsheetml/2006/main" count="69" uniqueCount="52">
  <si>
    <t>Velocity</t>
  </si>
  <si>
    <t>Acceleration</t>
  </si>
  <si>
    <t>t</t>
  </si>
  <si>
    <t>cm/s</t>
  </si>
  <si>
    <t>cm/s^2</t>
  </si>
  <si>
    <t>Position</t>
  </si>
  <si>
    <t>cm</t>
  </si>
  <si>
    <t>Reynolds Number</t>
  </si>
  <si>
    <t>-</t>
  </si>
  <si>
    <t>mu</t>
  </si>
  <si>
    <t>m2/s</t>
  </si>
  <si>
    <t>Diameter</t>
  </si>
  <si>
    <t>cm2/s</t>
  </si>
  <si>
    <t>Actual velocity</t>
  </si>
  <si>
    <t>Actual Re</t>
  </si>
  <si>
    <t>Uavg</t>
  </si>
  <si>
    <t>D</t>
  </si>
  <si>
    <t>tscal</t>
  </si>
  <si>
    <t>1/s</t>
  </si>
  <si>
    <t>time</t>
  </si>
  <si>
    <t>Cdp</t>
  </si>
  <si>
    <t>Cd</t>
  </si>
  <si>
    <t>Cdf</t>
  </si>
  <si>
    <t>Cp</t>
  </si>
  <si>
    <t>period=</t>
  </si>
  <si>
    <t>sec</t>
  </si>
  <si>
    <t>Periodic part</t>
  </si>
  <si>
    <t>D_WL</t>
  </si>
  <si>
    <t>U_WL</t>
  </si>
  <si>
    <t>D_pap</t>
  </si>
  <si>
    <t>U_pap</t>
  </si>
  <si>
    <t>Reference value</t>
  </si>
  <si>
    <t>cells</t>
  </si>
  <si>
    <t>cells/s</t>
  </si>
  <si>
    <t>gridsize p=</t>
  </si>
  <si>
    <t>t*</t>
  </si>
  <si>
    <t>s</t>
  </si>
  <si>
    <t>t*_WL</t>
  </si>
  <si>
    <t>s?</t>
  </si>
  <si>
    <t>Period</t>
  </si>
  <si>
    <t>Paper</t>
  </si>
  <si>
    <t>T_act</t>
  </si>
  <si>
    <t>T_scaled</t>
  </si>
  <si>
    <t>WL input time</t>
  </si>
  <si>
    <t>WL numerical time</t>
  </si>
  <si>
    <t>Frame number</t>
  </si>
  <si>
    <t>frames</t>
  </si>
  <si>
    <t>frames/time</t>
  </si>
  <si>
    <t>t =</t>
  </si>
  <si>
    <t>nondim t=</t>
  </si>
  <si>
    <t>numtime=</t>
  </si>
  <si>
    <t>frame#=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</si>
</sst>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 Results'!$A$3:$A$50</c:f>
              <c:numCache>
                <c:formatCode>General</c:formatCode>
                <c:ptCount val="48"/>
                <c:pt idx="0">
                  <c:v>8.4507042253521E-2</c:v>
                </c:pt>
                <c:pt idx="1">
                  <c:v>0.169014084507042</c:v>
                </c:pt>
                <c:pt idx="2">
                  <c:v>0.25352112676056299</c:v>
                </c:pt>
                <c:pt idx="3">
                  <c:v>0.338028169014084</c:v>
                </c:pt>
                <c:pt idx="4">
                  <c:v>0.39436619718309801</c:v>
                </c:pt>
                <c:pt idx="5">
                  <c:v>0.50704225352112597</c:v>
                </c:pt>
                <c:pt idx="6">
                  <c:v>0.59154929577464799</c:v>
                </c:pt>
                <c:pt idx="7">
                  <c:v>0.647887323943661</c:v>
                </c:pt>
                <c:pt idx="8">
                  <c:v>0.73239436619718301</c:v>
                </c:pt>
                <c:pt idx="9">
                  <c:v>0.81690140845070403</c:v>
                </c:pt>
                <c:pt idx="10">
                  <c:v>0.90140845070422504</c:v>
                </c:pt>
                <c:pt idx="11">
                  <c:v>0.98591549295774605</c:v>
                </c:pt>
                <c:pt idx="12">
                  <c:v>1.07042253521126</c:v>
                </c:pt>
                <c:pt idx="13">
                  <c:v>1.1549295774647801</c:v>
                </c:pt>
                <c:pt idx="14">
                  <c:v>1.23943661971831</c:v>
                </c:pt>
                <c:pt idx="15">
                  <c:v>1.3239436619718301</c:v>
                </c:pt>
                <c:pt idx="16">
                  <c:v>1.3239436619718301</c:v>
                </c:pt>
                <c:pt idx="17">
                  <c:v>1.40845070422535</c:v>
                </c:pt>
                <c:pt idx="18">
                  <c:v>1.4929577464788699</c:v>
                </c:pt>
                <c:pt idx="19">
                  <c:v>1.5492957746478799</c:v>
                </c:pt>
                <c:pt idx="20">
                  <c:v>1.6338028169014001</c:v>
                </c:pt>
                <c:pt idx="21">
                  <c:v>1.71830985915493</c:v>
                </c:pt>
                <c:pt idx="22">
                  <c:v>1.83098591549295</c:v>
                </c:pt>
                <c:pt idx="23">
                  <c:v>1.94366197183098</c:v>
                </c:pt>
                <c:pt idx="24">
                  <c:v>1.9718309859154901</c:v>
                </c:pt>
                <c:pt idx="25">
                  <c:v>2.0845070422535201</c:v>
                </c:pt>
                <c:pt idx="26">
                  <c:v>2.1408450704225301</c:v>
                </c:pt>
                <c:pt idx="27">
                  <c:v>2.2253521126760498</c:v>
                </c:pt>
                <c:pt idx="28">
                  <c:v>2.3098591549295699</c:v>
                </c:pt>
                <c:pt idx="29">
                  <c:v>2.3943661971830901</c:v>
                </c:pt>
                <c:pt idx="30">
                  <c:v>2.4788732394366102</c:v>
                </c:pt>
                <c:pt idx="31">
                  <c:v>2.53521126760563</c:v>
                </c:pt>
                <c:pt idx="32">
                  <c:v>2.6478873239436602</c:v>
                </c:pt>
                <c:pt idx="33">
                  <c:v>2.7323943661971799</c:v>
                </c:pt>
                <c:pt idx="34">
                  <c:v>2.8169014084507</c:v>
                </c:pt>
                <c:pt idx="35">
                  <c:v>2.9014084507042202</c:v>
                </c:pt>
                <c:pt idx="36">
                  <c:v>2.9859154929577398</c:v>
                </c:pt>
                <c:pt idx="37">
                  <c:v>3.0422535211267601</c:v>
                </c:pt>
                <c:pt idx="38">
                  <c:v>3.0985915492957701</c:v>
                </c:pt>
                <c:pt idx="39">
                  <c:v>3.23943661971831</c:v>
                </c:pt>
                <c:pt idx="40">
                  <c:v>3.29577464788732</c:v>
                </c:pt>
                <c:pt idx="41">
                  <c:v>3.3802816901408401</c:v>
                </c:pt>
                <c:pt idx="42">
                  <c:v>3.4929577464788699</c:v>
                </c:pt>
                <c:pt idx="43">
                  <c:v>3.5492957746478799</c:v>
                </c:pt>
                <c:pt idx="44">
                  <c:v>3.6338028169014001</c:v>
                </c:pt>
                <c:pt idx="45">
                  <c:v>3.71830985915493</c:v>
                </c:pt>
                <c:pt idx="46">
                  <c:v>3.8028169014084501</c:v>
                </c:pt>
                <c:pt idx="47">
                  <c:v>3.8873239436619702</c:v>
                </c:pt>
              </c:numCache>
            </c:numRef>
          </c:xVal>
          <c:yVal>
            <c:numRef>
              <c:f>'Exp Results'!$B$3:$B$50</c:f>
              <c:numCache>
                <c:formatCode>General</c:formatCode>
                <c:ptCount val="48"/>
                <c:pt idx="0">
                  <c:v>0.71186440677966401</c:v>
                </c:pt>
                <c:pt idx="1">
                  <c:v>1.57627118644068</c:v>
                </c:pt>
                <c:pt idx="2">
                  <c:v>1.8305084745762701</c:v>
                </c:pt>
                <c:pt idx="3">
                  <c:v>1.2711864406779601</c:v>
                </c:pt>
                <c:pt idx="4">
                  <c:v>0.71186440677966401</c:v>
                </c:pt>
                <c:pt idx="5">
                  <c:v>0.71186440677966401</c:v>
                </c:pt>
                <c:pt idx="6">
                  <c:v>0.71186440677966401</c:v>
                </c:pt>
                <c:pt idx="7">
                  <c:v>0.45762711864406902</c:v>
                </c:pt>
                <c:pt idx="8">
                  <c:v>0.203389830508477</c:v>
                </c:pt>
                <c:pt idx="9">
                  <c:v>0.203389830508477</c:v>
                </c:pt>
                <c:pt idx="10">
                  <c:v>1.2711864406779601</c:v>
                </c:pt>
                <c:pt idx="11">
                  <c:v>2.8983050847457599</c:v>
                </c:pt>
                <c:pt idx="12">
                  <c:v>2.64406779661017</c:v>
                </c:pt>
                <c:pt idx="13">
                  <c:v>1.5254237288135599</c:v>
                </c:pt>
                <c:pt idx="14">
                  <c:v>0.96610169491525599</c:v>
                </c:pt>
                <c:pt idx="15">
                  <c:v>0.71186440677966401</c:v>
                </c:pt>
                <c:pt idx="16">
                  <c:v>0.71186440677966401</c:v>
                </c:pt>
                <c:pt idx="17">
                  <c:v>0.71186440677966401</c:v>
                </c:pt>
                <c:pt idx="18">
                  <c:v>0.71186440677966401</c:v>
                </c:pt>
                <c:pt idx="19">
                  <c:v>0.45762711864406902</c:v>
                </c:pt>
                <c:pt idx="20">
                  <c:v>0.203389830508477</c:v>
                </c:pt>
                <c:pt idx="21">
                  <c:v>0.203389830508477</c:v>
                </c:pt>
                <c:pt idx="22">
                  <c:v>0.203389830508477</c:v>
                </c:pt>
                <c:pt idx="23">
                  <c:v>0.203389830508477</c:v>
                </c:pt>
                <c:pt idx="24">
                  <c:v>1.8305084745762701</c:v>
                </c:pt>
                <c:pt idx="25">
                  <c:v>2.8983050847457599</c:v>
                </c:pt>
                <c:pt idx="26">
                  <c:v>2.0847457627118602</c:v>
                </c:pt>
                <c:pt idx="27">
                  <c:v>1.2711864406779601</c:v>
                </c:pt>
                <c:pt idx="28">
                  <c:v>0.71186440677966401</c:v>
                </c:pt>
                <c:pt idx="29">
                  <c:v>0.71186440677966401</c:v>
                </c:pt>
                <c:pt idx="30">
                  <c:v>0.45762711864406902</c:v>
                </c:pt>
                <c:pt idx="31">
                  <c:v>0.203389830508477</c:v>
                </c:pt>
                <c:pt idx="32">
                  <c:v>0.203389830508477</c:v>
                </c:pt>
                <c:pt idx="33">
                  <c:v>0.203389830508477</c:v>
                </c:pt>
                <c:pt idx="34">
                  <c:v>0.203389830508477</c:v>
                </c:pt>
                <c:pt idx="35">
                  <c:v>1.8305084745762701</c:v>
                </c:pt>
                <c:pt idx="36">
                  <c:v>2.64406779661017</c:v>
                </c:pt>
                <c:pt idx="37">
                  <c:v>1.2711864406779601</c:v>
                </c:pt>
                <c:pt idx="38">
                  <c:v>0.71186440677966401</c:v>
                </c:pt>
                <c:pt idx="39">
                  <c:v>0.71186440677966401</c:v>
                </c:pt>
                <c:pt idx="40">
                  <c:v>0.45762711864406902</c:v>
                </c:pt>
                <c:pt idx="41">
                  <c:v>0.203389830508477</c:v>
                </c:pt>
                <c:pt idx="42">
                  <c:v>0.203389830508477</c:v>
                </c:pt>
                <c:pt idx="43">
                  <c:v>1.0169491525423699</c:v>
                </c:pt>
                <c:pt idx="44">
                  <c:v>2.0847457627118602</c:v>
                </c:pt>
                <c:pt idx="45">
                  <c:v>1.8305084745762701</c:v>
                </c:pt>
                <c:pt idx="46">
                  <c:v>0.96610169491525599</c:v>
                </c:pt>
                <c:pt idx="47">
                  <c:v>0.71186440677966401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1-4019-B091-519B52E6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060847"/>
        <c:axId val="357063247"/>
      </c:scatterChart>
      <c:valAx>
        <c:axId val="35706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063247"/>
        <c:crosses val="autoZero"/>
        <c:crossBetween val="midCat"/>
      </c:valAx>
      <c:valAx>
        <c:axId val="3570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706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'CFD Results'!$A$2:$A$92</c:f>
              <c:numCache>
                <c:formatCode>General</c:formatCode>
                <c:ptCount val="91"/>
                <c:pt idx="0">
                  <c:v>0</c:v>
                </c:pt>
                <c:pt idx="1">
                  <c:v>8.6956521739130405E-2</c:v>
                </c:pt>
                <c:pt idx="2">
                  <c:v>0.14492753623188401</c:v>
                </c:pt>
                <c:pt idx="3">
                  <c:v>0.17391304347826</c:v>
                </c:pt>
                <c:pt idx="4">
                  <c:v>0.202898550724637</c:v>
                </c:pt>
                <c:pt idx="5">
                  <c:v>0.24637681159420199</c:v>
                </c:pt>
                <c:pt idx="6">
                  <c:v>0.30434782608695599</c:v>
                </c:pt>
                <c:pt idx="7">
                  <c:v>0.34782608695652101</c:v>
                </c:pt>
                <c:pt idx="8">
                  <c:v>0.39130434782608697</c:v>
                </c:pt>
                <c:pt idx="9">
                  <c:v>0.434782608695652</c:v>
                </c:pt>
                <c:pt idx="10">
                  <c:v>0.52173913043478204</c:v>
                </c:pt>
                <c:pt idx="11">
                  <c:v>0.623188405797101</c:v>
                </c:pt>
                <c:pt idx="12">
                  <c:v>0.71014492753623204</c:v>
                </c:pt>
                <c:pt idx="13">
                  <c:v>0.84057971014492705</c:v>
                </c:pt>
                <c:pt idx="14">
                  <c:v>0.97101449275362295</c:v>
                </c:pt>
                <c:pt idx="15">
                  <c:v>1.0434782608695601</c:v>
                </c:pt>
                <c:pt idx="16">
                  <c:v>1.13043478260869</c:v>
                </c:pt>
                <c:pt idx="17">
                  <c:v>1.1884057971014399</c:v>
                </c:pt>
                <c:pt idx="18">
                  <c:v>1.2173913043478199</c:v>
                </c:pt>
                <c:pt idx="19">
                  <c:v>1.26086956521739</c:v>
                </c:pt>
                <c:pt idx="20">
                  <c:v>1.3333333333333299</c:v>
                </c:pt>
                <c:pt idx="21">
                  <c:v>1.37681159420289</c:v>
                </c:pt>
                <c:pt idx="22">
                  <c:v>1.4492753623188399</c:v>
                </c:pt>
                <c:pt idx="23">
                  <c:v>1.60869565217391</c:v>
                </c:pt>
                <c:pt idx="24">
                  <c:v>1.75362318840579</c:v>
                </c:pt>
                <c:pt idx="25">
                  <c:v>1.85507246376811</c:v>
                </c:pt>
                <c:pt idx="26">
                  <c:v>1.98550724637681</c:v>
                </c:pt>
                <c:pt idx="27">
                  <c:v>2.1159420289855002</c:v>
                </c:pt>
                <c:pt idx="28">
                  <c:v>2.1739130434782599</c:v>
                </c:pt>
                <c:pt idx="29">
                  <c:v>2.2318840579710102</c:v>
                </c:pt>
                <c:pt idx="30">
                  <c:v>2.27536231884058</c:v>
                </c:pt>
                <c:pt idx="31">
                  <c:v>2.3188405797101401</c:v>
                </c:pt>
                <c:pt idx="32">
                  <c:v>2.36231884057971</c:v>
                </c:pt>
                <c:pt idx="33">
                  <c:v>2.4637681159420199</c:v>
                </c:pt>
                <c:pt idx="34">
                  <c:v>2.6231884057971002</c:v>
                </c:pt>
                <c:pt idx="35">
                  <c:v>2.7826086956521698</c:v>
                </c:pt>
                <c:pt idx="36">
                  <c:v>2.8405797101449202</c:v>
                </c:pt>
                <c:pt idx="37">
                  <c:v>3</c:v>
                </c:pt>
                <c:pt idx="38">
                  <c:v>3.1159420289855002</c:v>
                </c:pt>
                <c:pt idx="39">
                  <c:v>3.2028985507246301</c:v>
                </c:pt>
                <c:pt idx="40">
                  <c:v>3.2463768115942</c:v>
                </c:pt>
                <c:pt idx="41">
                  <c:v>3.27536231884058</c:v>
                </c:pt>
                <c:pt idx="42">
                  <c:v>3.3478260869565202</c:v>
                </c:pt>
                <c:pt idx="43">
                  <c:v>3.3913043478260798</c:v>
                </c:pt>
                <c:pt idx="44">
                  <c:v>3.4782608695652102</c:v>
                </c:pt>
                <c:pt idx="45">
                  <c:v>3.63768115942029</c:v>
                </c:pt>
                <c:pt idx="46">
                  <c:v>3.76811594202898</c:v>
                </c:pt>
                <c:pt idx="47">
                  <c:v>3.8695652173913002</c:v>
                </c:pt>
                <c:pt idx="48">
                  <c:v>4.0144927536231796</c:v>
                </c:pt>
                <c:pt idx="49">
                  <c:v>4.1594202898550696</c:v>
                </c:pt>
                <c:pt idx="50">
                  <c:v>4.2318840579710102</c:v>
                </c:pt>
                <c:pt idx="51">
                  <c:v>4.2898550724637596</c:v>
                </c:pt>
                <c:pt idx="52">
                  <c:v>4.3478260869565197</c:v>
                </c:pt>
                <c:pt idx="53">
                  <c:v>4.4057971014492701</c:v>
                </c:pt>
                <c:pt idx="54">
                  <c:v>4.4927536231884</c:v>
                </c:pt>
                <c:pt idx="55">
                  <c:v>4.5797101449275299</c:v>
                </c:pt>
                <c:pt idx="56">
                  <c:v>4.63768115942029</c:v>
                </c:pt>
                <c:pt idx="57">
                  <c:v>4.7826086956521703</c:v>
                </c:pt>
                <c:pt idx="58">
                  <c:v>4.8840579710144896</c:v>
                </c:pt>
                <c:pt idx="59">
                  <c:v>5.0289855072463698</c:v>
                </c:pt>
                <c:pt idx="60">
                  <c:v>5.13043478260869</c:v>
                </c:pt>
                <c:pt idx="61">
                  <c:v>5.2173913043478199</c:v>
                </c:pt>
                <c:pt idx="62">
                  <c:v>5.2898550724637596</c:v>
                </c:pt>
                <c:pt idx="63">
                  <c:v>5.36231884057971</c:v>
                </c:pt>
                <c:pt idx="64">
                  <c:v>5.4202898550724603</c:v>
                </c:pt>
                <c:pt idx="65">
                  <c:v>5.4927536231884</c:v>
                </c:pt>
                <c:pt idx="66">
                  <c:v>5.6521739130434696</c:v>
                </c:pt>
                <c:pt idx="67">
                  <c:v>5.7826086956521703</c:v>
                </c:pt>
                <c:pt idx="68">
                  <c:v>5.8985507246376798</c:v>
                </c:pt>
                <c:pt idx="69">
                  <c:v>6.0434782608695601</c:v>
                </c:pt>
                <c:pt idx="70">
                  <c:v>6.1739130434782599</c:v>
                </c:pt>
                <c:pt idx="71">
                  <c:v>6.2463768115942004</c:v>
                </c:pt>
                <c:pt idx="72">
                  <c:v>6.3043478260869499</c:v>
                </c:pt>
                <c:pt idx="73">
                  <c:v>6.3768115942028896</c:v>
                </c:pt>
                <c:pt idx="74">
                  <c:v>6.4202898550724603</c:v>
                </c:pt>
                <c:pt idx="75">
                  <c:v>6.4927536231884</c:v>
                </c:pt>
                <c:pt idx="76">
                  <c:v>6.6521739130434696</c:v>
                </c:pt>
                <c:pt idx="77">
                  <c:v>6.7826086956521703</c:v>
                </c:pt>
                <c:pt idx="78">
                  <c:v>6.8985507246376798</c:v>
                </c:pt>
                <c:pt idx="79">
                  <c:v>7.0289855072463698</c:v>
                </c:pt>
                <c:pt idx="80">
                  <c:v>7.1449275362318803</c:v>
                </c:pt>
                <c:pt idx="81">
                  <c:v>7.2028985507246297</c:v>
                </c:pt>
                <c:pt idx="82">
                  <c:v>7.2608695652173898</c:v>
                </c:pt>
                <c:pt idx="83">
                  <c:v>7.3188405797101401</c:v>
                </c:pt>
                <c:pt idx="84">
                  <c:v>7.3768115942028896</c:v>
                </c:pt>
                <c:pt idx="85">
                  <c:v>7.4347826086956497</c:v>
                </c:pt>
                <c:pt idx="86">
                  <c:v>7.5072463768115902</c:v>
                </c:pt>
                <c:pt idx="87">
                  <c:v>7.6666666666666599</c:v>
                </c:pt>
                <c:pt idx="88">
                  <c:v>7.7536231884057898</c:v>
                </c:pt>
                <c:pt idx="89">
                  <c:v>7.8405797101449197</c:v>
                </c:pt>
                <c:pt idx="90">
                  <c:v>7.9130434782608701</c:v>
                </c:pt>
              </c:numCache>
            </c:numRef>
          </c:xVal>
          <c:yVal>
            <c:numRef>
              <c:f>'CFD Results'!$B$2:$B$92</c:f>
              <c:numCache>
                <c:formatCode>General</c:formatCode>
                <c:ptCount val="91"/>
                <c:pt idx="0">
                  <c:v>-4.27046263345192E-2</c:v>
                </c:pt>
                <c:pt idx="1">
                  <c:v>-0.38434163701067597</c:v>
                </c:pt>
                <c:pt idx="2">
                  <c:v>-0.71174377224199203</c:v>
                </c:pt>
                <c:pt idx="3">
                  <c:v>-1.0391459074733</c:v>
                </c:pt>
                <c:pt idx="4">
                  <c:v>-1.3523131672597799</c:v>
                </c:pt>
                <c:pt idx="5">
                  <c:v>-1.59430604982206</c:v>
                </c:pt>
                <c:pt idx="6">
                  <c:v>-1.3665480427046199</c:v>
                </c:pt>
                <c:pt idx="7">
                  <c:v>-0.98220640569395001</c:v>
                </c:pt>
                <c:pt idx="8">
                  <c:v>-0.68327402135231297</c:v>
                </c:pt>
                <c:pt idx="9">
                  <c:v>-0.58362989323843295</c:v>
                </c:pt>
                <c:pt idx="10">
                  <c:v>-0.78291814946619198</c:v>
                </c:pt>
                <c:pt idx="11">
                  <c:v>-1.0391459074733</c:v>
                </c:pt>
                <c:pt idx="12">
                  <c:v>-0.95373665480426995</c:v>
                </c:pt>
                <c:pt idx="13">
                  <c:v>-0.93950177935943002</c:v>
                </c:pt>
                <c:pt idx="14">
                  <c:v>-0.83985765124555101</c:v>
                </c:pt>
                <c:pt idx="15">
                  <c:v>-0.98220640569395001</c:v>
                </c:pt>
                <c:pt idx="16">
                  <c:v>-1.40925266903914</c:v>
                </c:pt>
                <c:pt idx="17">
                  <c:v>-1.9074733096085399</c:v>
                </c:pt>
                <c:pt idx="18">
                  <c:v>-2.2918149466192101</c:v>
                </c:pt>
                <c:pt idx="19">
                  <c:v>-2.43416370106761</c:v>
                </c:pt>
                <c:pt idx="20">
                  <c:v>-1.9928825622775701</c:v>
                </c:pt>
                <c:pt idx="21">
                  <c:v>-1.49466192170818</c:v>
                </c:pt>
                <c:pt idx="22">
                  <c:v>-1.3238434163701001</c:v>
                </c:pt>
                <c:pt idx="23">
                  <c:v>-1.6797153024911</c:v>
                </c:pt>
                <c:pt idx="24">
                  <c:v>-1.5373665480426999</c:v>
                </c:pt>
                <c:pt idx="25">
                  <c:v>-1.5373665480426999</c:v>
                </c:pt>
                <c:pt idx="26">
                  <c:v>-1.3950177935943</c:v>
                </c:pt>
                <c:pt idx="27">
                  <c:v>-1.76512455516014</c:v>
                </c:pt>
                <c:pt idx="28">
                  <c:v>-2.2206405693950102</c:v>
                </c:pt>
                <c:pt idx="29">
                  <c:v>-2.7330960854092501</c:v>
                </c:pt>
                <c:pt idx="30">
                  <c:v>-2.90391459074733</c:v>
                </c:pt>
                <c:pt idx="31">
                  <c:v>-2.6619217081850501</c:v>
                </c:pt>
                <c:pt idx="32">
                  <c:v>-2.2206405693950102</c:v>
                </c:pt>
                <c:pt idx="33">
                  <c:v>-1.7366548042704599</c:v>
                </c:pt>
                <c:pt idx="34">
                  <c:v>-2.0498220640569298</c:v>
                </c:pt>
                <c:pt idx="35">
                  <c:v>-1.86476868327402</c:v>
                </c:pt>
                <c:pt idx="36">
                  <c:v>-1.85053380782918</c:v>
                </c:pt>
                <c:pt idx="37">
                  <c:v>-1.66548042704626</c:v>
                </c:pt>
                <c:pt idx="38">
                  <c:v>-1.9928825622775701</c:v>
                </c:pt>
                <c:pt idx="39">
                  <c:v>-2.4911032028469702</c:v>
                </c:pt>
                <c:pt idx="40">
                  <c:v>-2.9893238434163698</c:v>
                </c:pt>
                <c:pt idx="41">
                  <c:v>-3.1316725978647599</c:v>
                </c:pt>
                <c:pt idx="42">
                  <c:v>-2.6619217081850501</c:v>
                </c:pt>
                <c:pt idx="43">
                  <c:v>-2.2775800711743699</c:v>
                </c:pt>
                <c:pt idx="44">
                  <c:v>-1.95017793594306</c:v>
                </c:pt>
                <c:pt idx="45">
                  <c:v>-2.23487544483985</c:v>
                </c:pt>
                <c:pt idx="46">
                  <c:v>-2.06405693950177</c:v>
                </c:pt>
                <c:pt idx="47">
                  <c:v>-2.0071174377224099</c:v>
                </c:pt>
                <c:pt idx="48">
                  <c:v>-1.8220640569394999</c:v>
                </c:pt>
                <c:pt idx="49">
                  <c:v>-2.2775800711743699</c:v>
                </c:pt>
                <c:pt idx="50">
                  <c:v>-2.8612099644128102</c:v>
                </c:pt>
                <c:pt idx="51">
                  <c:v>-3.2455516014234802</c:v>
                </c:pt>
                <c:pt idx="52">
                  <c:v>-2.80427046263345</c:v>
                </c:pt>
                <c:pt idx="53">
                  <c:v>-2.3487544483985698</c:v>
                </c:pt>
                <c:pt idx="54">
                  <c:v>-2.0498220640569298</c:v>
                </c:pt>
                <c:pt idx="55">
                  <c:v>-2.2491103202846898</c:v>
                </c:pt>
                <c:pt idx="56">
                  <c:v>-2.3202846975088902</c:v>
                </c:pt>
                <c:pt idx="57">
                  <c:v>-2.1494661921708098</c:v>
                </c:pt>
                <c:pt idx="58">
                  <c:v>-2.0782918149466099</c:v>
                </c:pt>
                <c:pt idx="59">
                  <c:v>-1.8932384341637001</c:v>
                </c:pt>
                <c:pt idx="60">
                  <c:v>-2.2775800711743699</c:v>
                </c:pt>
                <c:pt idx="61">
                  <c:v>-2.70462633451957</c:v>
                </c:pt>
                <c:pt idx="62">
                  <c:v>-3.3024911032028399</c:v>
                </c:pt>
                <c:pt idx="63">
                  <c:v>-2.8896797153024898</c:v>
                </c:pt>
                <c:pt idx="64">
                  <c:v>-2.3772241992882499</c:v>
                </c:pt>
                <c:pt idx="65">
                  <c:v>-2.1067615658362899</c:v>
                </c:pt>
                <c:pt idx="66">
                  <c:v>-2.3772241992882499</c:v>
                </c:pt>
                <c:pt idx="67">
                  <c:v>-2.1921708185053301</c:v>
                </c:pt>
                <c:pt idx="68">
                  <c:v>-2.1209964412811302</c:v>
                </c:pt>
                <c:pt idx="69">
                  <c:v>-1.93594306049822</c:v>
                </c:pt>
                <c:pt idx="70">
                  <c:v>-2.3772241992882499</c:v>
                </c:pt>
                <c:pt idx="71">
                  <c:v>-2.8896797153024898</c:v>
                </c:pt>
                <c:pt idx="72">
                  <c:v>-3.33096085409252</c:v>
                </c:pt>
                <c:pt idx="73">
                  <c:v>-2.9181494661921699</c:v>
                </c:pt>
                <c:pt idx="74">
                  <c:v>-2.4626334519572901</c:v>
                </c:pt>
                <c:pt idx="75">
                  <c:v>-2.13523131672597</c:v>
                </c:pt>
                <c:pt idx="76">
                  <c:v>-2.40569395017793</c:v>
                </c:pt>
                <c:pt idx="77">
                  <c:v>-2.2206405693950102</c:v>
                </c:pt>
                <c:pt idx="78">
                  <c:v>-2.1494661921708098</c:v>
                </c:pt>
                <c:pt idx="79">
                  <c:v>-1.95017793594306</c:v>
                </c:pt>
                <c:pt idx="80">
                  <c:v>-2.2064056939501699</c:v>
                </c:pt>
                <c:pt idx="81">
                  <c:v>-2.5480427046263299</c:v>
                </c:pt>
                <c:pt idx="82">
                  <c:v>-2.9893238434163698</c:v>
                </c:pt>
                <c:pt idx="83">
                  <c:v>-3.3594306049822</c:v>
                </c:pt>
                <c:pt idx="84">
                  <c:v>-2.97508896797153</c:v>
                </c:pt>
                <c:pt idx="85">
                  <c:v>-2.50533807829181</c:v>
                </c:pt>
                <c:pt idx="86">
                  <c:v>-2.1494661921708098</c:v>
                </c:pt>
                <c:pt idx="87">
                  <c:v>-2.4199288256227698</c:v>
                </c:pt>
                <c:pt idx="88">
                  <c:v>-2.3202846975088902</c:v>
                </c:pt>
                <c:pt idx="89">
                  <c:v>-2.2064056939501699</c:v>
                </c:pt>
                <c:pt idx="90">
                  <c:v>-2.1637010676156501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E-4962-97E6-05F5744BD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585920"/>
        <c:axId val="1531576320"/>
      </c:scatterChart>
      <c:valAx>
        <c:axId val="15315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1576320"/>
        <c:crosses val="autoZero"/>
        <c:crossBetween val="midCat"/>
      </c:valAx>
      <c:valAx>
        <c:axId val="15315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158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'CFD Results'!$C$2:$C$49</c:f>
              <c:numCache>
                <c:formatCode>General</c:formatCode>
                <c:ptCount val="48"/>
                <c:pt idx="0">
                  <c:v>10</c:v>
                </c:pt>
                <c:pt idx="1">
                  <c:v>10.063444108761299</c:v>
                </c:pt>
                <c:pt idx="2">
                  <c:v>10.117824773413799</c:v>
                </c:pt>
                <c:pt idx="3">
                  <c:v>10.154078549848901</c:v>
                </c:pt>
                <c:pt idx="4">
                  <c:v>10.1842900302114</c:v>
                </c:pt>
                <c:pt idx="5">
                  <c:v>10.208459214501501</c:v>
                </c:pt>
                <c:pt idx="6">
                  <c:v>10.238670694864</c:v>
                </c:pt>
                <c:pt idx="7">
                  <c:v>10.262839879154001</c:v>
                </c:pt>
                <c:pt idx="8">
                  <c:v>10.2930513595166</c:v>
                </c:pt>
                <c:pt idx="9">
                  <c:v>10.3141993957703</c:v>
                </c:pt>
                <c:pt idx="10">
                  <c:v>10.3504531722054</c:v>
                </c:pt>
                <c:pt idx="11">
                  <c:v>10.3867069486404</c:v>
                </c:pt>
                <c:pt idx="12">
                  <c:v>10.4259818731117</c:v>
                </c:pt>
                <c:pt idx="13">
                  <c:v>10.468277945619301</c:v>
                </c:pt>
                <c:pt idx="14">
                  <c:v>10.5166163141993</c:v>
                </c:pt>
                <c:pt idx="15">
                  <c:v>10.558912386706901</c:v>
                </c:pt>
                <c:pt idx="16">
                  <c:v>10.601208459214501</c:v>
                </c:pt>
                <c:pt idx="17">
                  <c:v>10.652567975830801</c:v>
                </c:pt>
                <c:pt idx="18">
                  <c:v>10.7220543806646</c:v>
                </c:pt>
                <c:pt idx="19">
                  <c:v>10.767371601208399</c:v>
                </c:pt>
                <c:pt idx="20">
                  <c:v>10.8549848942598</c:v>
                </c:pt>
                <c:pt idx="21">
                  <c:v>10.9365558912386</c:v>
                </c:pt>
                <c:pt idx="23">
                  <c:v>11</c:v>
                </c:pt>
                <c:pt idx="24">
                  <c:v>11.006042296072501</c:v>
                </c:pt>
                <c:pt idx="25">
                  <c:v>11.102719033232599</c:v>
                </c:pt>
                <c:pt idx="26">
                  <c:v>11.1450151057401</c:v>
                </c:pt>
                <c:pt idx="27">
                  <c:v>11.1691842900302</c:v>
                </c:pt>
                <c:pt idx="28">
                  <c:v>11.190332326283899</c:v>
                </c:pt>
                <c:pt idx="29">
                  <c:v>11.208459214501501</c:v>
                </c:pt>
                <c:pt idx="30">
                  <c:v>11.2356495468277</c:v>
                </c:pt>
                <c:pt idx="31">
                  <c:v>11.2567975830815</c:v>
                </c:pt>
                <c:pt idx="32">
                  <c:v>11.2779456193353</c:v>
                </c:pt>
                <c:pt idx="33">
                  <c:v>11.302114803625299</c:v>
                </c:pt>
                <c:pt idx="34">
                  <c:v>11.320241691842901</c:v>
                </c:pt>
                <c:pt idx="35">
                  <c:v>11.353474320241601</c:v>
                </c:pt>
                <c:pt idx="36">
                  <c:v>11.3897280966767</c:v>
                </c:pt>
                <c:pt idx="37">
                  <c:v>11.429003021148</c:v>
                </c:pt>
                <c:pt idx="38">
                  <c:v>11.4803625377643</c:v>
                </c:pt>
                <c:pt idx="39">
                  <c:v>11.5226586102719</c:v>
                </c:pt>
                <c:pt idx="40">
                  <c:v>11.558912386706901</c:v>
                </c:pt>
                <c:pt idx="41">
                  <c:v>11.601208459214501</c:v>
                </c:pt>
                <c:pt idx="42">
                  <c:v>11.676737160120799</c:v>
                </c:pt>
                <c:pt idx="43">
                  <c:v>11.7250755287009</c:v>
                </c:pt>
                <c:pt idx="44">
                  <c:v>11.779456193353401</c:v>
                </c:pt>
                <c:pt idx="45">
                  <c:v>11.858006042295999</c:v>
                </c:pt>
                <c:pt idx="46">
                  <c:v>11.9365558912386</c:v>
                </c:pt>
                <c:pt idx="47">
                  <c:v>12</c:v>
                </c:pt>
              </c:numCache>
            </c:numRef>
          </c:xVal>
          <c:yVal>
            <c:numRef>
              <c:f>'CFD Results'!$D$2:$D$49</c:f>
              <c:numCache>
                <c:formatCode>General</c:formatCode>
                <c:ptCount val="48"/>
                <c:pt idx="0">
                  <c:v>-0.37234042553191399</c:v>
                </c:pt>
                <c:pt idx="1">
                  <c:v>-0.82446808510638203</c:v>
                </c:pt>
                <c:pt idx="2">
                  <c:v>-1.3031914893617</c:v>
                </c:pt>
                <c:pt idx="3">
                  <c:v>-2.2340425531914798</c:v>
                </c:pt>
                <c:pt idx="4">
                  <c:v>-3.40425531914893</c:v>
                </c:pt>
                <c:pt idx="5">
                  <c:v>-3.8031914893617</c:v>
                </c:pt>
                <c:pt idx="6">
                  <c:v>-2.9787234042553101</c:v>
                </c:pt>
                <c:pt idx="7">
                  <c:v>-1.24999999999999</c:v>
                </c:pt>
                <c:pt idx="8">
                  <c:v>0.39893617021276601</c:v>
                </c:pt>
                <c:pt idx="9">
                  <c:v>1.0638297872340401</c:v>
                </c:pt>
                <c:pt idx="10">
                  <c:v>1.3829787234042501</c:v>
                </c:pt>
                <c:pt idx="11">
                  <c:v>1.19680851063829</c:v>
                </c:pt>
                <c:pt idx="12">
                  <c:v>0.50531914893617103</c:v>
                </c:pt>
                <c:pt idx="13">
                  <c:v>-0.42553191489361603</c:v>
                </c:pt>
                <c:pt idx="14">
                  <c:v>-1.22340425531914</c:v>
                </c:pt>
                <c:pt idx="15">
                  <c:v>-1.4627659574467999</c:v>
                </c:pt>
                <c:pt idx="16">
                  <c:v>-1.22340425531914</c:v>
                </c:pt>
                <c:pt idx="17">
                  <c:v>-0.69148936170212605</c:v>
                </c:pt>
                <c:pt idx="18">
                  <c:v>-7.9787234042552002E-2</c:v>
                </c:pt>
                <c:pt idx="19" formatCode="0.00E+00">
                  <c:v>0</c:v>
                </c:pt>
                <c:pt idx="20">
                  <c:v>-0.13297872340425401</c:v>
                </c:pt>
                <c:pt idx="21">
                  <c:v>-0.18617021276595599</c:v>
                </c:pt>
                <c:pt idx="23">
                  <c:v>-0.37234042553191399</c:v>
                </c:pt>
                <c:pt idx="24">
                  <c:v>-0.39893617021276401</c:v>
                </c:pt>
                <c:pt idx="25">
                  <c:v>-1.1170212765957399</c:v>
                </c:pt>
                <c:pt idx="26">
                  <c:v>-1.88829787234042</c:v>
                </c:pt>
                <c:pt idx="27">
                  <c:v>-2.7127659574468002</c:v>
                </c:pt>
                <c:pt idx="28">
                  <c:v>-3.4840425531914798</c:v>
                </c:pt>
                <c:pt idx="29">
                  <c:v>-3.8031914893617</c:v>
                </c:pt>
                <c:pt idx="30">
                  <c:v>-3.08510638297872</c:v>
                </c:pt>
                <c:pt idx="31">
                  <c:v>-2.0212765957446801</c:v>
                </c:pt>
                <c:pt idx="32">
                  <c:v>-0.58510638297872197</c:v>
                </c:pt>
                <c:pt idx="33">
                  <c:v>0.71808510638297895</c:v>
                </c:pt>
                <c:pt idx="34">
                  <c:v>1.1436170212765899</c:v>
                </c:pt>
                <c:pt idx="35">
                  <c:v>1.3829787234042501</c:v>
                </c:pt>
                <c:pt idx="36">
                  <c:v>1.19680851063829</c:v>
                </c:pt>
                <c:pt idx="37">
                  <c:v>0.45212765957446899</c:v>
                </c:pt>
                <c:pt idx="38">
                  <c:v>-0.55851063829787095</c:v>
                </c:pt>
                <c:pt idx="39">
                  <c:v>-1.24999999999999</c:v>
                </c:pt>
                <c:pt idx="40">
                  <c:v>-1.4627659574467999</c:v>
                </c:pt>
                <c:pt idx="41">
                  <c:v>-1.24999999999999</c:v>
                </c:pt>
                <c:pt idx="42">
                  <c:v>-0.45212765957446699</c:v>
                </c:pt>
                <c:pt idx="43">
                  <c:v>-7.9787234042552002E-2</c:v>
                </c:pt>
                <c:pt idx="44">
                  <c:v>-2.6595744680850599E-2</c:v>
                </c:pt>
                <c:pt idx="45">
                  <c:v>-0.13297872340425401</c:v>
                </c:pt>
                <c:pt idx="46">
                  <c:v>-0.18617021276595599</c:v>
                </c:pt>
                <c:pt idx="47">
                  <c:v>-0.37234042553191399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6-4FEA-A151-9764FE4C4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817951"/>
        <c:axId val="757813631"/>
      </c:scatterChart>
      <c:valAx>
        <c:axId val="75781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7813631"/>
        <c:crosses val="autoZero"/>
        <c:crossBetween val="midCat"/>
      </c:valAx>
      <c:valAx>
        <c:axId val="7578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781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39</xdr:row>
      <xdr:rowOff>158115</xdr:rowOff>
    </xdr:from>
    <xdr:to>
      <xdr:col>20</xdr:col>
      <xdr:colOff>28575</xdr:colOff>
      <xdr:row>54</xdr:row>
      <xdr:rowOff>158115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31525F9-5191-2CA5-82FB-D356A43F0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335280</xdr:colOff>
      <xdr:row>28</xdr:row>
      <xdr:rowOff>160020</xdr:rowOff>
    </xdr:from>
    <xdr:to>
      <xdr:col>23</xdr:col>
      <xdr:colOff>249931</xdr:colOff>
      <xdr:row>44</xdr:row>
      <xdr:rowOff>131697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073F66A-1A75-2D8A-3711-EBD7D2B8F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5880" y="4914900"/>
          <a:ext cx="4343776" cy="2911092"/>
        </a:xfrm>
        <a:prstGeom prst="rect">
          <a:avLst/>
        </a:prstGeom>
      </xdr:spPr>
    </xdr:pic>
    <xdr:clientData/>
  </xdr:twoCellAnchor>
  <xdr:twoCellAnchor editAs="oneCell">
    <xdr:from>
      <xdr:col>22</xdr:col>
      <xdr:colOff>49530</xdr:colOff>
      <xdr:row>64</xdr:row>
      <xdr:rowOff>102870</xdr:rowOff>
    </xdr:from>
    <xdr:to>
      <xdr:col>29</xdr:col>
      <xdr:colOff>171830</xdr:colOff>
      <xdr:row>80</xdr:row>
      <xdr:rowOff>97410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EB0D14BB-3E30-26F3-178A-BCBB93CEF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60605" y="11685270"/>
          <a:ext cx="4381880" cy="2899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91</xdr:row>
      <xdr:rowOff>15240</xdr:rowOff>
    </xdr:from>
    <xdr:to>
      <xdr:col>23</xdr:col>
      <xdr:colOff>381000</xdr:colOff>
      <xdr:row>112</xdr:row>
      <xdr:rowOff>99060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59AFB6-0F21-CD28-A833-62F4C51F9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396240</xdr:colOff>
      <xdr:row>28</xdr:row>
      <xdr:rowOff>160020</xdr:rowOff>
    </xdr:from>
    <xdr:to>
      <xdr:col>22</xdr:col>
      <xdr:colOff>91440</xdr:colOff>
      <xdr:row>43</xdr:row>
      <xdr:rowOff>160020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9F039502-34AD-5BC9-5EC0-0A1085F6D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B991-9B64-4DC5-AC1B-5E0A5BD55BAF}">
  <dimension ref="A1:V50"/>
  <sheetViews>
    <sheetView topLeftCell="A31" workbookViewId="0">
      <selection activeCell="F53" sqref="F53"/>
    </sheetView>
  </sheetViews>
  <sheetFormatPr defaultRowHeight="14.4" x14ac:dyDescent="0.3"/>
  <cols>
    <col min="1" max="1" width="10" customWidth="1"/>
    <col min="14" max="14" width="9" customWidth="1"/>
    <col min="19" max="19" width="11" bestFit="1" customWidth="1"/>
  </cols>
  <sheetData>
    <row r="1" spans="1:22" x14ac:dyDescent="0.3">
      <c r="A1" t="s">
        <v>0</v>
      </c>
      <c r="C1" t="s">
        <v>13</v>
      </c>
      <c r="E1" t="s">
        <v>1</v>
      </c>
      <c r="G1" t="s">
        <v>5</v>
      </c>
      <c r="I1" t="s">
        <v>7</v>
      </c>
      <c r="K1" t="s">
        <v>14</v>
      </c>
      <c r="O1" t="s">
        <v>11</v>
      </c>
    </row>
    <row r="2" spans="1:22" x14ac:dyDescent="0.3">
      <c r="A2" t="s">
        <v>2</v>
      </c>
      <c r="B2" t="s">
        <v>3</v>
      </c>
      <c r="C2" t="s">
        <v>3</v>
      </c>
      <c r="E2" t="s">
        <v>2</v>
      </c>
      <c r="F2" t="s">
        <v>4</v>
      </c>
      <c r="G2" t="s">
        <v>2</v>
      </c>
      <c r="H2" t="s">
        <v>6</v>
      </c>
      <c r="I2" t="s">
        <v>2</v>
      </c>
      <c r="J2" t="s">
        <v>8</v>
      </c>
      <c r="O2" t="s">
        <v>6</v>
      </c>
      <c r="R2" t="s">
        <v>9</v>
      </c>
      <c r="S2">
        <f>1.04*10^-6</f>
        <v>1.04E-6</v>
      </c>
      <c r="T2" t="s">
        <v>10</v>
      </c>
      <c r="U2">
        <f>S2*100^2</f>
        <v>1.04E-2</v>
      </c>
      <c r="V2" t="s">
        <v>12</v>
      </c>
    </row>
    <row r="3" spans="1:22" x14ac:dyDescent="0.3">
      <c r="A3">
        <v>8.4507042253521E-2</v>
      </c>
      <c r="B3">
        <v>0.71186440677966401</v>
      </c>
      <c r="C3">
        <f>B3+1</f>
        <v>1.711864406779664</v>
      </c>
      <c r="E3">
        <v>8.5106382978723305E-2</v>
      </c>
      <c r="F3">
        <v>9.3435943866002695</v>
      </c>
      <c r="G3">
        <v>0</v>
      </c>
      <c r="H3">
        <v>0</v>
      </c>
      <c r="J3">
        <v>67.647058823529207</v>
      </c>
      <c r="L3">
        <v>9.1331269349845201E-2</v>
      </c>
      <c r="M3">
        <f t="shared" ref="M3:M49" si="0">J3+75</f>
        <v>142.64705882352922</v>
      </c>
      <c r="O3">
        <f t="shared" ref="O3:O49" si="1">(J3*$U$2)/B3</f>
        <v>0.98829131652660351</v>
      </c>
      <c r="R3" t="s">
        <v>15</v>
      </c>
      <c r="S3">
        <f>AVERAGE(C3:C50)</f>
        <v>1.984110169491526</v>
      </c>
      <c r="T3" t="s">
        <v>3</v>
      </c>
    </row>
    <row r="4" spans="1:22" x14ac:dyDescent="0.3">
      <c r="A4">
        <v>0.169014084507042</v>
      </c>
      <c r="B4">
        <v>1.57627118644068</v>
      </c>
      <c r="C4">
        <f t="shared" ref="C4:C50" si="2">B4+1</f>
        <v>2.57627118644068</v>
      </c>
      <c r="E4">
        <v>0.19858156028368701</v>
      </c>
      <c r="F4">
        <v>5.0641315829183702</v>
      </c>
      <c r="G4">
        <v>8.4507042253521E-2</v>
      </c>
      <c r="H4">
        <v>9.9999999999997799E-2</v>
      </c>
      <c r="J4">
        <v>111.764705882352</v>
      </c>
      <c r="L4">
        <v>0.18018575851393101</v>
      </c>
      <c r="M4">
        <f t="shared" si="0"/>
        <v>186.76470588235202</v>
      </c>
      <c r="O4">
        <f t="shared" si="1"/>
        <v>0.73740670461732372</v>
      </c>
      <c r="R4" t="s">
        <v>16</v>
      </c>
      <c r="S4">
        <v>0.85</v>
      </c>
      <c r="T4" t="s">
        <v>6</v>
      </c>
    </row>
    <row r="5" spans="1:22" x14ac:dyDescent="0.3">
      <c r="A5">
        <v>0.25352112676056299</v>
      </c>
      <c r="B5">
        <v>1.8305084745762701</v>
      </c>
      <c r="C5">
        <f t="shared" si="2"/>
        <v>2.8305084745762699</v>
      </c>
      <c r="E5">
        <v>0.25531914893617003</v>
      </c>
      <c r="F5">
        <v>0.79674060660934698</v>
      </c>
      <c r="G5">
        <v>0.169014084507042</v>
      </c>
      <c r="H5">
        <v>0.19999999999999901</v>
      </c>
      <c r="J5">
        <v>132.35294117647001</v>
      </c>
      <c r="L5">
        <v>0.26656346749226001</v>
      </c>
      <c r="M5">
        <f t="shared" si="0"/>
        <v>207.35294117647001</v>
      </c>
      <c r="O5">
        <f t="shared" si="1"/>
        <v>0.75196078431372271</v>
      </c>
      <c r="R5" t="s">
        <v>17</v>
      </c>
      <c r="S5">
        <f>S3/S4</f>
        <v>2.3342472582253246</v>
      </c>
      <c r="T5" t="s">
        <v>18</v>
      </c>
    </row>
    <row r="6" spans="1:22" x14ac:dyDescent="0.3">
      <c r="A6">
        <v>0.338028169014084</v>
      </c>
      <c r="B6">
        <v>1.2711864406779601</v>
      </c>
      <c r="C6">
        <f t="shared" si="2"/>
        <v>2.2711864406779601</v>
      </c>
      <c r="E6">
        <v>0.340425531914893</v>
      </c>
      <c r="F6">
        <v>-7.7320054323222598</v>
      </c>
      <c r="G6">
        <v>0.25352112676056299</v>
      </c>
      <c r="H6">
        <v>0.39999999999999802</v>
      </c>
      <c r="J6">
        <v>100</v>
      </c>
      <c r="L6">
        <v>0.326315789473684</v>
      </c>
      <c r="M6">
        <f t="shared" si="0"/>
        <v>175</v>
      </c>
      <c r="O6">
        <f t="shared" si="1"/>
        <v>0.81813333333333726</v>
      </c>
    </row>
    <row r="7" spans="1:22" x14ac:dyDescent="0.3">
      <c r="A7">
        <v>0.39436619718309801</v>
      </c>
      <c r="B7">
        <v>0.71186440677966401</v>
      </c>
      <c r="C7">
        <f t="shared" si="2"/>
        <v>1.711864406779664</v>
      </c>
      <c r="E7">
        <v>0.39716312056737502</v>
      </c>
      <c r="F7">
        <v>0.76656103817717203</v>
      </c>
      <c r="G7">
        <v>0.338028169014084</v>
      </c>
      <c r="H7">
        <v>0.60000000000000098</v>
      </c>
      <c r="J7">
        <v>67.647058823529207</v>
      </c>
      <c r="L7">
        <v>0.40712074303405499</v>
      </c>
      <c r="M7">
        <f t="shared" si="0"/>
        <v>142.64705882352922</v>
      </c>
      <c r="O7">
        <f t="shared" si="1"/>
        <v>0.98829131652660351</v>
      </c>
    </row>
    <row r="8" spans="1:22" x14ac:dyDescent="0.3">
      <c r="A8">
        <v>0.50704225352112597</v>
      </c>
      <c r="B8">
        <v>0.71186440677966401</v>
      </c>
      <c r="C8">
        <f t="shared" si="2"/>
        <v>1.711864406779664</v>
      </c>
      <c r="E8">
        <v>0.48226950354609899</v>
      </c>
      <c r="F8">
        <v>0.74845329711786202</v>
      </c>
      <c r="G8">
        <v>0.42253521126760502</v>
      </c>
      <c r="H8">
        <v>0.69999999999999896</v>
      </c>
      <c r="J8">
        <v>67.647058823529207</v>
      </c>
      <c r="L8">
        <v>0.491331269349845</v>
      </c>
      <c r="M8">
        <f t="shared" si="0"/>
        <v>142.64705882352922</v>
      </c>
      <c r="O8">
        <f t="shared" si="1"/>
        <v>0.98829131652660351</v>
      </c>
    </row>
    <row r="9" spans="1:22" x14ac:dyDescent="0.3">
      <c r="A9">
        <v>0.59154929577464799</v>
      </c>
      <c r="B9">
        <v>0.71186440677966401</v>
      </c>
      <c r="C9">
        <f t="shared" si="2"/>
        <v>1.711864406779664</v>
      </c>
      <c r="E9">
        <v>0.59574468085106302</v>
      </c>
      <c r="F9">
        <v>0.72430964237213402</v>
      </c>
      <c r="G9">
        <v>0.50704225352112597</v>
      </c>
      <c r="H9">
        <v>0.89999999999999802</v>
      </c>
      <c r="J9">
        <v>67.647058823529207</v>
      </c>
      <c r="L9">
        <v>0.596594427244582</v>
      </c>
      <c r="M9">
        <f t="shared" si="0"/>
        <v>142.64705882352922</v>
      </c>
      <c r="O9">
        <f t="shared" si="1"/>
        <v>0.98829131652660351</v>
      </c>
    </row>
    <row r="10" spans="1:22" x14ac:dyDescent="0.3">
      <c r="A10">
        <v>0.647887323943661</v>
      </c>
      <c r="B10">
        <v>0.45762711864406902</v>
      </c>
      <c r="C10">
        <f t="shared" si="2"/>
        <v>1.457627118644069</v>
      </c>
      <c r="E10">
        <v>0.65248226950354504</v>
      </c>
      <c r="F10">
        <v>-3.5430813339368901</v>
      </c>
      <c r="G10">
        <v>0.59154929577464699</v>
      </c>
      <c r="H10">
        <v>1</v>
      </c>
      <c r="J10">
        <v>47.058823529411697</v>
      </c>
      <c r="L10">
        <v>0.65758513931888496</v>
      </c>
      <c r="M10">
        <f t="shared" si="0"/>
        <v>122.0588235294117</v>
      </c>
      <c r="O10">
        <f t="shared" si="1"/>
        <v>1.0694553376906273</v>
      </c>
    </row>
    <row r="11" spans="1:22" x14ac:dyDescent="0.3">
      <c r="A11">
        <v>0.73239436619718301</v>
      </c>
      <c r="B11">
        <v>0.203389830508477</v>
      </c>
      <c r="C11">
        <f t="shared" si="2"/>
        <v>1.2033898305084769</v>
      </c>
      <c r="E11">
        <v>0.73758865248226901</v>
      </c>
      <c r="F11">
        <v>0.69413007393995896</v>
      </c>
      <c r="G11">
        <v>0.73239436619718201</v>
      </c>
      <c r="H11">
        <v>1.19999999999999</v>
      </c>
      <c r="J11">
        <v>23.529411764705799</v>
      </c>
      <c r="L11">
        <v>0.739318885448916</v>
      </c>
      <c r="M11">
        <f t="shared" si="0"/>
        <v>98.529411764705799</v>
      </c>
      <c r="O11">
        <f t="shared" si="1"/>
        <v>1.2031372549019421</v>
      </c>
    </row>
    <row r="12" spans="1:22" x14ac:dyDescent="0.3">
      <c r="A12">
        <v>0.81690140845070403</v>
      </c>
      <c r="B12">
        <v>0.203389830508477</v>
      </c>
      <c r="C12">
        <f t="shared" si="2"/>
        <v>1.2033898305084769</v>
      </c>
      <c r="E12">
        <v>0.82269503546099298</v>
      </c>
      <c r="F12">
        <v>0.67602233288064895</v>
      </c>
      <c r="G12">
        <v>0.92957746478873204</v>
      </c>
      <c r="H12">
        <v>1.3999999999999899</v>
      </c>
      <c r="J12">
        <v>23.529411764705799</v>
      </c>
      <c r="L12">
        <v>0.82352941176470495</v>
      </c>
      <c r="M12">
        <f t="shared" si="0"/>
        <v>98.529411764705799</v>
      </c>
      <c r="O12">
        <f t="shared" si="1"/>
        <v>1.2031372549019421</v>
      </c>
    </row>
    <row r="13" spans="1:22" x14ac:dyDescent="0.3">
      <c r="A13">
        <v>0.90140845070422504</v>
      </c>
      <c r="B13">
        <v>1.2711864406779601</v>
      </c>
      <c r="C13">
        <f t="shared" si="2"/>
        <v>2.2711864406779601</v>
      </c>
      <c r="E13">
        <v>0.90780141843971596</v>
      </c>
      <c r="F13">
        <v>17.679191187566001</v>
      </c>
      <c r="G13">
        <v>0.98591549295774605</v>
      </c>
      <c r="H13">
        <v>1.6</v>
      </c>
      <c r="J13">
        <v>117.64705882352899</v>
      </c>
      <c r="L13">
        <v>0.91764705882352904</v>
      </c>
      <c r="M13">
        <f t="shared" si="0"/>
        <v>192.64705882352899</v>
      </c>
      <c r="O13">
        <f t="shared" si="1"/>
        <v>0.96250980392156982</v>
      </c>
    </row>
    <row r="14" spans="1:22" x14ac:dyDescent="0.3">
      <c r="A14">
        <v>0.98591549295774605</v>
      </c>
      <c r="B14">
        <v>2.8983050847457599</v>
      </c>
      <c r="C14">
        <f t="shared" si="2"/>
        <v>3.8983050847457599</v>
      </c>
      <c r="E14">
        <v>0.99290780141843904</v>
      </c>
      <c r="F14">
        <v>9.1504451486343896</v>
      </c>
      <c r="G14">
        <v>1.07042253521126</v>
      </c>
      <c r="H14">
        <v>1.7999999999999901</v>
      </c>
      <c r="J14">
        <v>217.64705882352899</v>
      </c>
      <c r="L14">
        <v>1.01238390092879</v>
      </c>
      <c r="M14">
        <f t="shared" si="0"/>
        <v>292.64705882352899</v>
      </c>
      <c r="O14">
        <f t="shared" si="1"/>
        <v>0.78098383212934219</v>
      </c>
    </row>
    <row r="15" spans="1:22" x14ac:dyDescent="0.3">
      <c r="A15">
        <v>1.07042253521126</v>
      </c>
      <c r="B15">
        <v>2.64406779661017</v>
      </c>
      <c r="C15">
        <f t="shared" si="2"/>
        <v>3.64406779661017</v>
      </c>
      <c r="E15">
        <v>1.07801418439716</v>
      </c>
      <c r="F15">
        <v>-12.995322166892899</v>
      </c>
      <c r="G15">
        <v>1.2394366197183</v>
      </c>
      <c r="H15">
        <v>2.0999999999999899</v>
      </c>
      <c r="J15">
        <v>182.35294117647001</v>
      </c>
      <c r="L15">
        <v>1.09287925696594</v>
      </c>
      <c r="M15">
        <f t="shared" si="0"/>
        <v>257.35294117647004</v>
      </c>
      <c r="O15">
        <f t="shared" si="1"/>
        <v>0.7172549019607819</v>
      </c>
      <c r="P15">
        <f>10*2^7</f>
        <v>1280</v>
      </c>
    </row>
    <row r="16" spans="1:22" x14ac:dyDescent="0.3">
      <c r="A16">
        <v>1.1549295774647801</v>
      </c>
      <c r="B16">
        <v>1.5254237288135599</v>
      </c>
      <c r="C16">
        <f t="shared" si="2"/>
        <v>2.5254237288135597</v>
      </c>
      <c r="E16">
        <v>1.16312056737588</v>
      </c>
      <c r="F16">
        <v>-3.6517277802927302</v>
      </c>
      <c r="G16">
        <v>1.40845070422535</v>
      </c>
      <c r="H16">
        <v>2.5</v>
      </c>
      <c r="J16">
        <v>111.764705882352</v>
      </c>
      <c r="L16">
        <v>1.16965944272445</v>
      </c>
      <c r="M16">
        <f t="shared" si="0"/>
        <v>186.76470588235202</v>
      </c>
      <c r="O16">
        <f t="shared" si="1"/>
        <v>0.76198692810456847</v>
      </c>
    </row>
    <row r="17" spans="1:15" x14ac:dyDescent="0.3">
      <c r="A17">
        <v>1.23943661971831</v>
      </c>
      <c r="B17">
        <v>0.96610169491525599</v>
      </c>
      <c r="C17">
        <f t="shared" si="2"/>
        <v>1.9661016949152561</v>
      </c>
      <c r="E17">
        <v>1.24822695035461</v>
      </c>
      <c r="F17">
        <v>-3.6698355213520402</v>
      </c>
      <c r="G17">
        <v>1.5492957746478799</v>
      </c>
      <c r="H17">
        <v>2.5999999999999899</v>
      </c>
      <c r="J17">
        <v>85.294117647058698</v>
      </c>
      <c r="L17">
        <v>1.2510835913312599</v>
      </c>
      <c r="M17">
        <f t="shared" si="0"/>
        <v>160.2941176470587</v>
      </c>
      <c r="O17">
        <f t="shared" si="1"/>
        <v>0.91818369453044069</v>
      </c>
    </row>
    <row r="18" spans="1:15" x14ac:dyDescent="0.3">
      <c r="A18">
        <v>1.3239436619718301</v>
      </c>
      <c r="B18">
        <v>0.71186440677966401</v>
      </c>
      <c r="C18">
        <f t="shared" si="2"/>
        <v>1.711864406779664</v>
      </c>
      <c r="E18">
        <v>1.3333333333333299</v>
      </c>
      <c r="F18">
        <v>0.56737588652484305</v>
      </c>
      <c r="G18">
        <v>1.7464788732394301</v>
      </c>
      <c r="H18">
        <v>2.8999999999999901</v>
      </c>
      <c r="J18">
        <v>67.647058823529207</v>
      </c>
      <c r="L18">
        <v>1.3123839009287901</v>
      </c>
      <c r="M18">
        <f t="shared" si="0"/>
        <v>142.64705882352922</v>
      </c>
      <c r="O18">
        <f t="shared" si="1"/>
        <v>0.98829131652660351</v>
      </c>
    </row>
    <row r="19" spans="1:15" x14ac:dyDescent="0.3">
      <c r="A19">
        <v>1.3239436619718301</v>
      </c>
      <c r="B19">
        <v>0.71186440677966401</v>
      </c>
      <c r="C19">
        <f t="shared" si="2"/>
        <v>1.711864406779664</v>
      </c>
      <c r="E19">
        <v>1.4184397163120499</v>
      </c>
      <c r="F19">
        <v>0.54926814546553204</v>
      </c>
      <c r="G19">
        <v>1.83098591549295</v>
      </c>
      <c r="H19">
        <v>3</v>
      </c>
      <c r="J19">
        <v>70.588235294117496</v>
      </c>
      <c r="L19">
        <v>1.4179566563467401</v>
      </c>
      <c r="M19">
        <f t="shared" si="0"/>
        <v>145.58823529411751</v>
      </c>
      <c r="O19">
        <f t="shared" si="1"/>
        <v>1.031260504201674</v>
      </c>
    </row>
    <row r="20" spans="1:15" x14ac:dyDescent="0.3">
      <c r="A20">
        <v>1.40845070422535</v>
      </c>
      <c r="B20">
        <v>0.71186440677966401</v>
      </c>
      <c r="C20">
        <f t="shared" si="2"/>
        <v>1.711864406779664</v>
      </c>
      <c r="E20">
        <v>1.5035460992907801</v>
      </c>
      <c r="F20">
        <v>-0.31990342538102801</v>
      </c>
      <c r="G20">
        <v>1.9718309859154901</v>
      </c>
      <c r="H20">
        <v>3.1</v>
      </c>
      <c r="J20">
        <v>67.647058823529207</v>
      </c>
      <c r="L20">
        <v>1.5018575851393099</v>
      </c>
      <c r="M20">
        <f t="shared" si="0"/>
        <v>142.64705882352922</v>
      </c>
      <c r="O20">
        <f t="shared" si="1"/>
        <v>0.98829131652660351</v>
      </c>
    </row>
    <row r="21" spans="1:15" x14ac:dyDescent="0.3">
      <c r="A21">
        <v>1.4929577464788699</v>
      </c>
      <c r="B21">
        <v>0.71186440677966401</v>
      </c>
      <c r="C21">
        <f t="shared" si="2"/>
        <v>1.711864406779664</v>
      </c>
      <c r="E21">
        <v>1.5886524822695001</v>
      </c>
      <c r="F21">
        <v>-3.74226648558925</v>
      </c>
      <c r="G21">
        <v>2.05633802816901</v>
      </c>
      <c r="H21">
        <v>3.5</v>
      </c>
      <c r="J21">
        <v>47.058823529411697</v>
      </c>
      <c r="L21">
        <v>1.5839009287925601</v>
      </c>
      <c r="M21">
        <f t="shared" si="0"/>
        <v>122.0588235294117</v>
      </c>
      <c r="O21">
        <f t="shared" si="1"/>
        <v>0.68750700280111654</v>
      </c>
    </row>
    <row r="22" spans="1:15" x14ac:dyDescent="0.3">
      <c r="A22">
        <v>1.5492957746478799</v>
      </c>
      <c r="B22">
        <v>0.45762711864406902</v>
      </c>
      <c r="C22">
        <f t="shared" si="2"/>
        <v>1.457627118644069</v>
      </c>
      <c r="E22">
        <v>1.64539007092198</v>
      </c>
      <c r="F22">
        <v>0.50098083597404697</v>
      </c>
      <c r="G22">
        <v>2.2535211267605599</v>
      </c>
      <c r="H22">
        <v>3.8</v>
      </c>
      <c r="J22">
        <v>23.529411764705799</v>
      </c>
      <c r="L22">
        <v>1.64458204334365</v>
      </c>
      <c r="M22">
        <f t="shared" si="0"/>
        <v>98.529411764705799</v>
      </c>
      <c r="O22">
        <f t="shared" si="1"/>
        <v>0.53472766884531253</v>
      </c>
    </row>
    <row r="23" spans="1:15" x14ac:dyDescent="0.3">
      <c r="A23">
        <v>1.6338028169014001</v>
      </c>
      <c r="B23">
        <v>0.203389830508477</v>
      </c>
      <c r="C23">
        <f t="shared" si="2"/>
        <v>1.2033898305084769</v>
      </c>
      <c r="E23">
        <v>1.7304964539006999</v>
      </c>
      <c r="F23">
        <v>0.48287309491476499</v>
      </c>
      <c r="G23">
        <v>2.4225352112676002</v>
      </c>
      <c r="H23">
        <v>4.0999999999999996</v>
      </c>
      <c r="J23">
        <v>23.529411764705799</v>
      </c>
      <c r="L23">
        <v>1.7077399380804901</v>
      </c>
      <c r="M23">
        <f t="shared" si="0"/>
        <v>98.529411764705799</v>
      </c>
      <c r="O23">
        <f t="shared" si="1"/>
        <v>1.2031372549019421</v>
      </c>
    </row>
    <row r="24" spans="1:15" x14ac:dyDescent="0.3">
      <c r="A24">
        <v>1.71830985915493</v>
      </c>
      <c r="B24">
        <v>0.203389830508477</v>
      </c>
      <c r="C24">
        <f t="shared" si="2"/>
        <v>1.2033898305084769</v>
      </c>
      <c r="E24">
        <v>1.8156028368794299</v>
      </c>
      <c r="F24">
        <v>0.46476535385545498</v>
      </c>
      <c r="G24">
        <v>2.6478873239436602</v>
      </c>
      <c r="H24">
        <v>4.4000000000000004</v>
      </c>
      <c r="J24">
        <v>23.529411764705799</v>
      </c>
      <c r="L24">
        <v>1.8130030959752299</v>
      </c>
      <c r="M24">
        <f t="shared" si="0"/>
        <v>98.529411764705799</v>
      </c>
      <c r="O24">
        <f t="shared" si="1"/>
        <v>1.2031372549019421</v>
      </c>
    </row>
    <row r="25" spans="1:15" x14ac:dyDescent="0.3">
      <c r="A25">
        <v>1.83098591549295</v>
      </c>
      <c r="B25">
        <v>0.203389830508477</v>
      </c>
      <c r="C25">
        <f t="shared" si="2"/>
        <v>1.2033898305084769</v>
      </c>
      <c r="E25">
        <v>1.9007092198581499</v>
      </c>
      <c r="F25">
        <v>0.44665761279614402</v>
      </c>
      <c r="G25">
        <v>2.87323943661971</v>
      </c>
      <c r="H25">
        <v>4.5999999999999996</v>
      </c>
      <c r="J25">
        <v>23.529411764705799</v>
      </c>
      <c r="L25">
        <v>1.8972136222910201</v>
      </c>
      <c r="M25">
        <f t="shared" si="0"/>
        <v>98.529411764705799</v>
      </c>
      <c r="O25">
        <f t="shared" si="1"/>
        <v>1.2031372549019421</v>
      </c>
    </row>
    <row r="26" spans="1:15" x14ac:dyDescent="0.3">
      <c r="A26">
        <v>1.94366197183098</v>
      </c>
      <c r="B26">
        <v>0.203389830508477</v>
      </c>
      <c r="C26">
        <f t="shared" si="2"/>
        <v>1.2033898305084769</v>
      </c>
      <c r="E26">
        <v>1.9858156028368701</v>
      </c>
      <c r="F26">
        <v>26.811528595140999</v>
      </c>
      <c r="G26">
        <v>2.9577464788732302</v>
      </c>
      <c r="H26">
        <v>4.9000000000000004</v>
      </c>
      <c r="J26">
        <v>164.70588235294099</v>
      </c>
      <c r="L26">
        <v>1.99628482972136</v>
      </c>
      <c r="M26">
        <f t="shared" si="0"/>
        <v>239.70588235294099</v>
      </c>
      <c r="O26">
        <f t="shared" si="1"/>
        <v>8.4219607843136153</v>
      </c>
    </row>
    <row r="27" spans="1:15" x14ac:dyDescent="0.3">
      <c r="A27">
        <v>1.9718309859154901</v>
      </c>
      <c r="B27">
        <v>1.8305084745762701</v>
      </c>
      <c r="C27">
        <f t="shared" si="2"/>
        <v>2.8305084745762699</v>
      </c>
      <c r="E27">
        <v>2.0709219858156001</v>
      </c>
      <c r="F27">
        <v>-8.9512599969819995</v>
      </c>
      <c r="G27">
        <v>3.0985915492957701</v>
      </c>
      <c r="H27">
        <v>5.2</v>
      </c>
      <c r="J27">
        <v>202.941176470588</v>
      </c>
      <c r="L27">
        <v>2.0845201238389999</v>
      </c>
      <c r="M27">
        <f t="shared" si="0"/>
        <v>277.941176470588</v>
      </c>
      <c r="O27">
        <f t="shared" si="1"/>
        <v>1.1530065359477117</v>
      </c>
    </row>
    <row r="28" spans="1:15" x14ac:dyDescent="0.3">
      <c r="A28">
        <v>2.0845070422535201</v>
      </c>
      <c r="B28">
        <v>2.8983050847457599</v>
      </c>
      <c r="C28">
        <f t="shared" si="2"/>
        <v>3.8983050847457599</v>
      </c>
      <c r="E28">
        <v>2.15602836879432</v>
      </c>
      <c r="F28">
        <v>-3.8629847593179201</v>
      </c>
      <c r="G28">
        <v>3.35211267605633</v>
      </c>
      <c r="H28">
        <v>5.5</v>
      </c>
      <c r="J28">
        <v>144.117647058823</v>
      </c>
      <c r="L28">
        <v>2.1625386996903999</v>
      </c>
      <c r="M28">
        <f t="shared" si="0"/>
        <v>219.117647058823</v>
      </c>
      <c r="O28">
        <f t="shared" si="1"/>
        <v>0.51713794289645543</v>
      </c>
    </row>
    <row r="29" spans="1:15" x14ac:dyDescent="0.3">
      <c r="A29">
        <v>2.1408450704225301</v>
      </c>
      <c r="B29">
        <v>2.0847457627118602</v>
      </c>
      <c r="C29">
        <f t="shared" si="2"/>
        <v>3.0847457627118602</v>
      </c>
      <c r="E29">
        <v>2.24113475177304</v>
      </c>
      <c r="F29">
        <v>-8.9874754791006204</v>
      </c>
      <c r="G29">
        <v>3.5492957746478799</v>
      </c>
      <c r="H29">
        <v>5.7</v>
      </c>
      <c r="J29">
        <v>108.823529411764</v>
      </c>
      <c r="L29">
        <v>2.2430340557275499</v>
      </c>
      <c r="M29">
        <f t="shared" si="0"/>
        <v>183.82352941176401</v>
      </c>
      <c r="O29">
        <f t="shared" si="1"/>
        <v>0.54287900526063837</v>
      </c>
    </row>
    <row r="30" spans="1:15" x14ac:dyDescent="0.3">
      <c r="A30">
        <v>2.2253521126760498</v>
      </c>
      <c r="B30">
        <v>1.2711864406779601</v>
      </c>
      <c r="C30">
        <f t="shared" si="2"/>
        <v>2.2711864406779601</v>
      </c>
      <c r="E30">
        <v>2.3262411347517702</v>
      </c>
      <c r="F30">
        <v>0.35611890749962</v>
      </c>
      <c r="G30">
        <v>3.6338028169014001</v>
      </c>
      <c r="H30">
        <v>5.9</v>
      </c>
      <c r="J30">
        <v>67.647058823529207</v>
      </c>
      <c r="L30">
        <v>2.32291021671826</v>
      </c>
      <c r="M30">
        <f t="shared" si="0"/>
        <v>142.64705882352922</v>
      </c>
      <c r="O30">
        <f t="shared" si="1"/>
        <v>0.55344313725490291</v>
      </c>
    </row>
    <row r="31" spans="1:15" x14ac:dyDescent="0.3">
      <c r="A31">
        <v>2.3098591549295699</v>
      </c>
      <c r="B31">
        <v>0.71186440677966401</v>
      </c>
      <c r="C31">
        <f t="shared" si="2"/>
        <v>1.711864406779664</v>
      </c>
      <c r="E31">
        <v>2.4113475177304902</v>
      </c>
      <c r="F31">
        <v>0.33801116644033802</v>
      </c>
      <c r="G31">
        <v>3.8028169014084501</v>
      </c>
      <c r="H31">
        <v>6.3</v>
      </c>
      <c r="J31">
        <v>67.647058823529207</v>
      </c>
      <c r="L31">
        <v>2.4071207430340502</v>
      </c>
      <c r="M31">
        <f t="shared" si="0"/>
        <v>142.64705882352922</v>
      </c>
      <c r="O31">
        <f t="shared" si="1"/>
        <v>0.98829131652660351</v>
      </c>
    </row>
    <row r="32" spans="1:15" x14ac:dyDescent="0.3">
      <c r="A32">
        <v>2.3943661971830901</v>
      </c>
      <c r="B32">
        <v>0.71186440677966401</v>
      </c>
      <c r="C32">
        <f t="shared" si="2"/>
        <v>1.711864406779664</v>
      </c>
      <c r="E32">
        <v>2.4680851063829699</v>
      </c>
      <c r="F32">
        <v>-3.92937980986872</v>
      </c>
      <c r="G32">
        <v>3.9718309859154899</v>
      </c>
      <c r="H32">
        <v>6.5</v>
      </c>
      <c r="J32">
        <v>47.058823529411697</v>
      </c>
      <c r="L32">
        <v>2.4891640866873002</v>
      </c>
      <c r="M32">
        <f t="shared" si="0"/>
        <v>122.0588235294117</v>
      </c>
      <c r="O32">
        <f t="shared" si="1"/>
        <v>0.68750700280111654</v>
      </c>
    </row>
    <row r="33" spans="1:15" x14ac:dyDescent="0.3">
      <c r="A33">
        <v>2.4788732394366102</v>
      </c>
      <c r="B33">
        <v>0.45762711864406902</v>
      </c>
      <c r="C33">
        <f t="shared" si="2"/>
        <v>1.457627118644069</v>
      </c>
      <c r="E33">
        <v>2.5531914893617</v>
      </c>
      <c r="F33">
        <v>0.30783159800816401</v>
      </c>
      <c r="J33">
        <v>23.529411764705799</v>
      </c>
      <c r="L33">
        <v>2.5498452012383899</v>
      </c>
      <c r="M33">
        <f t="shared" si="0"/>
        <v>98.529411764705799</v>
      </c>
      <c r="O33">
        <f t="shared" si="1"/>
        <v>0.53472766884531253</v>
      </c>
    </row>
    <row r="34" spans="1:15" x14ac:dyDescent="0.3">
      <c r="A34">
        <v>2.53521126760563</v>
      </c>
      <c r="B34">
        <v>0.203389830508477</v>
      </c>
      <c r="C34">
        <f t="shared" si="2"/>
        <v>1.2033898305084769</v>
      </c>
      <c r="E34">
        <v>2.63829787234042</v>
      </c>
      <c r="F34">
        <v>0.289723856948853</v>
      </c>
      <c r="J34">
        <v>23.529411764705799</v>
      </c>
      <c r="L34">
        <v>2.5919504643962799</v>
      </c>
      <c r="M34">
        <f t="shared" si="0"/>
        <v>98.529411764705799</v>
      </c>
      <c r="O34">
        <f t="shared" si="1"/>
        <v>1.2031372549019421</v>
      </c>
    </row>
    <row r="35" spans="1:15" x14ac:dyDescent="0.3">
      <c r="A35">
        <v>2.6478873239436602</v>
      </c>
      <c r="B35">
        <v>0.203389830508477</v>
      </c>
      <c r="C35">
        <f t="shared" si="2"/>
        <v>1.2033898305084769</v>
      </c>
      <c r="E35">
        <v>2.72340425531914</v>
      </c>
      <c r="F35">
        <v>0.27161611588954299</v>
      </c>
      <c r="J35">
        <v>23.529411764705799</v>
      </c>
      <c r="L35">
        <v>2.6972136222910201</v>
      </c>
      <c r="M35">
        <f t="shared" si="0"/>
        <v>98.529411764705799</v>
      </c>
      <c r="O35">
        <f t="shared" si="1"/>
        <v>1.2031372549019421</v>
      </c>
    </row>
    <row r="36" spans="1:15" x14ac:dyDescent="0.3">
      <c r="A36">
        <v>2.7323943661971799</v>
      </c>
      <c r="B36">
        <v>0.203389830508477</v>
      </c>
      <c r="C36">
        <f t="shared" si="2"/>
        <v>1.2033898305084769</v>
      </c>
      <c r="E36">
        <v>2.83687943262411</v>
      </c>
      <c r="F36">
        <v>0.24747246114381399</v>
      </c>
      <c r="J36">
        <v>23.529411764705799</v>
      </c>
      <c r="L36">
        <v>2.8024767801857502</v>
      </c>
      <c r="M36">
        <f t="shared" si="0"/>
        <v>98.529411764705799</v>
      </c>
      <c r="O36">
        <f t="shared" si="1"/>
        <v>1.2031372549019421</v>
      </c>
    </row>
    <row r="37" spans="1:15" x14ac:dyDescent="0.3">
      <c r="A37">
        <v>2.8169014084507</v>
      </c>
      <c r="B37">
        <v>0.203389830508477</v>
      </c>
      <c r="C37">
        <f t="shared" si="2"/>
        <v>1.2033898305084769</v>
      </c>
      <c r="E37">
        <v>2.92198581560283</v>
      </c>
      <c r="F37">
        <v>25.7612796137015</v>
      </c>
      <c r="J37">
        <v>164.70588235294099</v>
      </c>
      <c r="L37">
        <v>2.9015479876160901</v>
      </c>
      <c r="M37">
        <f t="shared" si="0"/>
        <v>239.70588235294099</v>
      </c>
      <c r="O37">
        <f t="shared" si="1"/>
        <v>8.4219607843136153</v>
      </c>
    </row>
    <row r="38" spans="1:15" x14ac:dyDescent="0.3">
      <c r="A38">
        <v>2.9014084507042202</v>
      </c>
      <c r="B38">
        <v>1.8305084745762701</v>
      </c>
      <c r="C38">
        <f t="shared" si="2"/>
        <v>2.8305084745762699</v>
      </c>
      <c r="E38">
        <v>3.0070921985815602</v>
      </c>
      <c r="F38">
        <v>-13.405764297570499</v>
      </c>
      <c r="J38">
        <v>182.35294117647001</v>
      </c>
      <c r="L38">
        <v>2.9876160990712002</v>
      </c>
      <c r="M38">
        <f t="shared" si="0"/>
        <v>257.35294117647004</v>
      </c>
      <c r="O38">
        <f t="shared" si="1"/>
        <v>1.036034858387797</v>
      </c>
    </row>
    <row r="39" spans="1:15" x14ac:dyDescent="0.3">
      <c r="A39">
        <v>2.9859154929577398</v>
      </c>
      <c r="B39">
        <v>2.64406779661017</v>
      </c>
      <c r="C39">
        <f t="shared" si="2"/>
        <v>3.64406779661017</v>
      </c>
      <c r="E39">
        <v>3.0921985815602802</v>
      </c>
      <c r="F39">
        <v>-9.1685528896936397</v>
      </c>
      <c r="J39">
        <v>88.235294117646802</v>
      </c>
      <c r="L39">
        <v>3.06191950464396</v>
      </c>
      <c r="M39">
        <f t="shared" si="0"/>
        <v>163.23529411764679</v>
      </c>
      <c r="O39">
        <f t="shared" si="1"/>
        <v>0.3470588235294107</v>
      </c>
    </row>
    <row r="40" spans="1:15" x14ac:dyDescent="0.3">
      <c r="A40">
        <v>3.0422535211267601</v>
      </c>
      <c r="B40">
        <v>1.2711864406779601</v>
      </c>
      <c r="C40">
        <f t="shared" si="2"/>
        <v>2.2711864406779601</v>
      </c>
      <c r="E40">
        <v>3.1489361702127598</v>
      </c>
      <c r="F40">
        <v>0.18107741059301899</v>
      </c>
      <c r="J40">
        <v>61.7647058823527</v>
      </c>
      <c r="L40">
        <v>3.1433436532507701</v>
      </c>
      <c r="M40">
        <f t="shared" si="0"/>
        <v>136.7647058823527</v>
      </c>
      <c r="O40">
        <f t="shared" si="1"/>
        <v>0.50531764705882387</v>
      </c>
    </row>
    <row r="41" spans="1:15" x14ac:dyDescent="0.3">
      <c r="A41">
        <v>3.0985915492957701</v>
      </c>
      <c r="B41">
        <v>0.71186440677966401</v>
      </c>
      <c r="C41">
        <f t="shared" si="2"/>
        <v>1.711864406779664</v>
      </c>
      <c r="E41">
        <v>3.23404255319149</v>
      </c>
      <c r="F41">
        <v>0.16296966953373701</v>
      </c>
      <c r="J41">
        <v>70.588235294117496</v>
      </c>
      <c r="L41">
        <v>3.22848297213622</v>
      </c>
      <c r="M41">
        <f t="shared" si="0"/>
        <v>145.58823529411751</v>
      </c>
      <c r="O41">
        <f t="shared" si="1"/>
        <v>1.031260504201674</v>
      </c>
    </row>
    <row r="42" spans="1:15" x14ac:dyDescent="0.3">
      <c r="A42">
        <v>3.23943661971831</v>
      </c>
      <c r="B42">
        <v>0.71186440677966401</v>
      </c>
      <c r="C42">
        <f t="shared" si="2"/>
        <v>1.711864406779664</v>
      </c>
      <c r="E42">
        <v>3.31914893617021</v>
      </c>
      <c r="F42">
        <v>-4.1104572204617398</v>
      </c>
      <c r="J42">
        <v>47.058823529411697</v>
      </c>
      <c r="L42">
        <v>3.3102167182662501</v>
      </c>
      <c r="M42">
        <f t="shared" si="0"/>
        <v>122.0588235294117</v>
      </c>
      <c r="O42">
        <f t="shared" si="1"/>
        <v>0.68750700280111654</v>
      </c>
    </row>
    <row r="43" spans="1:15" x14ac:dyDescent="0.3">
      <c r="A43">
        <v>3.29577464788732</v>
      </c>
      <c r="B43">
        <v>0.45762711864406902</v>
      </c>
      <c r="C43">
        <f t="shared" si="2"/>
        <v>1.457627118644069</v>
      </c>
      <c r="E43">
        <v>3.3758865248226901</v>
      </c>
      <c r="F43">
        <v>0.132790101101562</v>
      </c>
      <c r="J43">
        <v>23.529411764705799</v>
      </c>
      <c r="L43">
        <v>3.37089783281733</v>
      </c>
      <c r="M43">
        <f t="shared" si="0"/>
        <v>98.529411764705799</v>
      </c>
      <c r="O43">
        <f t="shared" si="1"/>
        <v>0.53472766884531253</v>
      </c>
    </row>
    <row r="44" spans="1:15" x14ac:dyDescent="0.3">
      <c r="A44">
        <v>3.3802816901408401</v>
      </c>
      <c r="B44">
        <v>0.203389830508477</v>
      </c>
      <c r="C44">
        <f t="shared" si="2"/>
        <v>1.2033898305084769</v>
      </c>
      <c r="E44">
        <v>3.5177304964539</v>
      </c>
      <c r="F44">
        <v>0.10261053266938799</v>
      </c>
      <c r="J44">
        <v>23.529411764705799</v>
      </c>
      <c r="L44">
        <v>3.4551083591331202</v>
      </c>
      <c r="M44">
        <f t="shared" si="0"/>
        <v>98.529411764705799</v>
      </c>
      <c r="O44">
        <f t="shared" si="1"/>
        <v>1.2031372549019421</v>
      </c>
    </row>
    <row r="45" spans="1:15" x14ac:dyDescent="0.3">
      <c r="A45">
        <v>3.4929577464788699</v>
      </c>
      <c r="B45">
        <v>0.203389830508477</v>
      </c>
      <c r="C45">
        <f t="shared" si="2"/>
        <v>1.2033898305084769</v>
      </c>
      <c r="E45">
        <v>3.60283687943262</v>
      </c>
      <c r="F45">
        <v>12.850460238418499</v>
      </c>
      <c r="J45">
        <v>94.117647058823394</v>
      </c>
      <c r="L45">
        <v>3.5467492260061899</v>
      </c>
      <c r="M45">
        <f t="shared" si="0"/>
        <v>169.11764705882339</v>
      </c>
      <c r="O45">
        <f t="shared" si="1"/>
        <v>4.8125490196077783</v>
      </c>
    </row>
    <row r="46" spans="1:15" x14ac:dyDescent="0.3">
      <c r="A46">
        <v>3.5492957746478799</v>
      </c>
      <c r="B46">
        <v>1.0169491525423699</v>
      </c>
      <c r="C46">
        <f t="shared" si="2"/>
        <v>2.0169491525423702</v>
      </c>
      <c r="E46">
        <v>3.6595744680851001</v>
      </c>
      <c r="F46">
        <v>4.32775011317338</v>
      </c>
      <c r="J46">
        <v>155.88235294117601</v>
      </c>
      <c r="L46">
        <v>3.6374613003095901</v>
      </c>
      <c r="M46">
        <f t="shared" si="0"/>
        <v>230.88235294117601</v>
      </c>
      <c r="O46">
        <f t="shared" si="1"/>
        <v>1.5941568627450977</v>
      </c>
    </row>
    <row r="47" spans="1:15" x14ac:dyDescent="0.3">
      <c r="A47">
        <v>3.6338028169014001</v>
      </c>
      <c r="B47">
        <v>2.0847457627118602</v>
      </c>
      <c r="C47">
        <f t="shared" si="2"/>
        <v>3.0847457627118602</v>
      </c>
      <c r="E47">
        <v>3.7446808510638299</v>
      </c>
      <c r="F47">
        <v>-9.3073789044816504</v>
      </c>
      <c r="J47">
        <v>123.529411764705</v>
      </c>
      <c r="L47">
        <v>3.7393188854489101</v>
      </c>
      <c r="M47">
        <f t="shared" si="0"/>
        <v>198.529411764705</v>
      </c>
      <c r="O47">
        <f t="shared" si="1"/>
        <v>0.61624103299856214</v>
      </c>
    </row>
    <row r="48" spans="1:15" x14ac:dyDescent="0.3">
      <c r="A48">
        <v>3.71830985915493</v>
      </c>
      <c r="B48">
        <v>1.8305084745762701</v>
      </c>
      <c r="C48">
        <f t="shared" si="2"/>
        <v>2.8305084745762699</v>
      </c>
      <c r="E48">
        <v>3.8297872340425498</v>
      </c>
      <c r="F48">
        <v>-4.2191036668175697</v>
      </c>
      <c r="J48">
        <v>73.529411764705799</v>
      </c>
      <c r="L48">
        <v>3.7972136222910202</v>
      </c>
      <c r="M48">
        <f t="shared" si="0"/>
        <v>148.5294117647058</v>
      </c>
      <c r="O48">
        <f t="shared" si="1"/>
        <v>0.41775599128540281</v>
      </c>
    </row>
    <row r="49" spans="1:15" x14ac:dyDescent="0.3">
      <c r="A49">
        <v>3.8028169014084501</v>
      </c>
      <c r="B49">
        <v>0.96610169491525599</v>
      </c>
      <c r="C49">
        <f t="shared" si="2"/>
        <v>1.9661016949152561</v>
      </c>
      <c r="E49">
        <v>3.88652482269503</v>
      </c>
      <c r="F49">
        <v>2.4143654745728299E-2</v>
      </c>
      <c r="J49">
        <v>61.7647058823527</v>
      </c>
      <c r="L49">
        <v>3.8801857585139299</v>
      </c>
      <c r="M49">
        <f t="shared" si="0"/>
        <v>136.7647058823527</v>
      </c>
      <c r="O49">
        <f t="shared" si="1"/>
        <v>0.66489164086686925</v>
      </c>
    </row>
    <row r="50" spans="1:15" x14ac:dyDescent="0.3">
      <c r="A50">
        <v>3.8873239436619702</v>
      </c>
      <c r="B50">
        <v>0.71186440677966401</v>
      </c>
      <c r="C50">
        <f t="shared" si="2"/>
        <v>1.711864406779664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3B27-4D15-41D3-BDDD-26A48E372516}">
  <dimension ref="A1:J148"/>
  <sheetViews>
    <sheetView topLeftCell="A82" workbookViewId="0">
      <selection activeCell="H105" sqref="H105"/>
    </sheetView>
  </sheetViews>
  <sheetFormatPr defaultRowHeight="14.4" x14ac:dyDescent="0.3"/>
  <sheetData>
    <row r="1" spans="1:10" x14ac:dyDescent="0.3">
      <c r="A1" t="s">
        <v>19</v>
      </c>
      <c r="B1" t="s">
        <v>0</v>
      </c>
      <c r="C1" t="s">
        <v>19</v>
      </c>
      <c r="D1" t="s">
        <v>20</v>
      </c>
      <c r="E1" t="s">
        <v>19</v>
      </c>
      <c r="F1" t="s">
        <v>21</v>
      </c>
      <c r="G1" t="s">
        <v>19</v>
      </c>
      <c r="H1" t="s">
        <v>22</v>
      </c>
      <c r="I1" t="s">
        <v>19</v>
      </c>
      <c r="J1" t="s">
        <v>23</v>
      </c>
    </row>
    <row r="2" spans="1:10" x14ac:dyDescent="0.3">
      <c r="A2">
        <v>0</v>
      </c>
      <c r="B2">
        <v>-4.27046263345192E-2</v>
      </c>
      <c r="C2">
        <v>10</v>
      </c>
      <c r="D2">
        <v>-0.37234042553191399</v>
      </c>
      <c r="E2">
        <v>10</v>
      </c>
      <c r="F2">
        <v>-2.6595744680850599E-2</v>
      </c>
      <c r="G2">
        <v>10</v>
      </c>
      <c r="H2">
        <v>0.319148936170213</v>
      </c>
      <c r="I2">
        <v>10</v>
      </c>
      <c r="J2">
        <v>-0.114942528735639</v>
      </c>
    </row>
    <row r="3" spans="1:10" x14ac:dyDescent="0.3">
      <c r="A3">
        <v>8.6956521739130405E-2</v>
      </c>
      <c r="B3">
        <v>-0.38434163701067597</v>
      </c>
      <c r="C3">
        <v>10.063444108761299</v>
      </c>
      <c r="D3">
        <v>-0.82446808510638203</v>
      </c>
      <c r="E3">
        <v>10.0664652567975</v>
      </c>
      <c r="F3">
        <v>-0.45212765957446699</v>
      </c>
      <c r="G3">
        <v>10.0513595166163</v>
      </c>
      <c r="H3">
        <v>0.34574468085106402</v>
      </c>
      <c r="I3">
        <v>10.044510385756601</v>
      </c>
      <c r="J3">
        <v>0.34482758620689602</v>
      </c>
    </row>
    <row r="4" spans="1:10" x14ac:dyDescent="0.3">
      <c r="A4">
        <v>0.14492753623188401</v>
      </c>
      <c r="B4">
        <v>-0.71174377224199203</v>
      </c>
      <c r="C4">
        <v>10.117824773413799</v>
      </c>
      <c r="D4">
        <v>-1.3031914893617</v>
      </c>
      <c r="E4">
        <v>10.120845921450099</v>
      </c>
      <c r="F4">
        <v>-0.69148936170212605</v>
      </c>
      <c r="G4">
        <v>10.099697885196299</v>
      </c>
      <c r="H4">
        <v>0.47872340425531901</v>
      </c>
      <c r="I4">
        <v>10.080118694362</v>
      </c>
      <c r="J4">
        <v>1.4942528735632099</v>
      </c>
    </row>
    <row r="5" spans="1:10" x14ac:dyDescent="0.3">
      <c r="A5">
        <v>0.17391304347826</v>
      </c>
      <c r="B5">
        <v>-1.0391459074733</v>
      </c>
      <c r="C5">
        <v>10.154078549848901</v>
      </c>
      <c r="D5">
        <v>-2.2340425531914798</v>
      </c>
      <c r="E5">
        <v>10.154078549848901</v>
      </c>
      <c r="F5">
        <v>-1.19680851063829</v>
      </c>
      <c r="G5">
        <v>10.1299093655589</v>
      </c>
      <c r="H5">
        <v>0.77127659574468099</v>
      </c>
      <c r="I5">
        <v>10.1038575667655</v>
      </c>
      <c r="J5">
        <v>2.8735632183907902</v>
      </c>
    </row>
    <row r="6" spans="1:10" x14ac:dyDescent="0.3">
      <c r="A6">
        <v>0.202898550724637</v>
      </c>
      <c r="B6">
        <v>-1.3523131672597799</v>
      </c>
      <c r="C6">
        <v>10.1842900302114</v>
      </c>
      <c r="D6">
        <v>-3.40425531914893</v>
      </c>
      <c r="E6">
        <v>10.1782477341389</v>
      </c>
      <c r="F6">
        <v>-1.86170212765957</v>
      </c>
      <c r="G6">
        <v>10.1691842900302</v>
      </c>
      <c r="H6">
        <v>1.19680851063829</v>
      </c>
      <c r="I6">
        <v>10.1275964391691</v>
      </c>
      <c r="J6">
        <v>5.6321839080459704</v>
      </c>
    </row>
    <row r="7" spans="1:10" x14ac:dyDescent="0.3">
      <c r="A7">
        <v>0.24637681159420199</v>
      </c>
      <c r="B7">
        <v>-1.59430604982206</v>
      </c>
      <c r="C7">
        <v>10.208459214501501</v>
      </c>
      <c r="D7">
        <v>-3.8031914893617</v>
      </c>
      <c r="E7">
        <v>10.2054380664652</v>
      </c>
      <c r="F7">
        <v>-2.3404255319148901</v>
      </c>
      <c r="G7">
        <v>10.211480362537699</v>
      </c>
      <c r="H7">
        <v>1.4627659574467999</v>
      </c>
      <c r="I7">
        <v>10.1483679525222</v>
      </c>
      <c r="J7">
        <v>9.8850574712643606</v>
      </c>
    </row>
    <row r="8" spans="1:10" x14ac:dyDescent="0.3">
      <c r="A8">
        <v>0.30434782608695599</v>
      </c>
      <c r="B8">
        <v>-1.3665480427046199</v>
      </c>
      <c r="C8">
        <v>10.238670694864</v>
      </c>
      <c r="D8">
        <v>-2.9787234042553101</v>
      </c>
      <c r="E8">
        <v>10.229607250755199</v>
      </c>
      <c r="F8">
        <v>-1.9946808510638201</v>
      </c>
      <c r="G8">
        <v>10.250755287009</v>
      </c>
      <c r="H8">
        <v>1.19680851063829</v>
      </c>
      <c r="I8">
        <v>10.163204747774399</v>
      </c>
      <c r="J8">
        <v>14.9425287356321</v>
      </c>
    </row>
    <row r="9" spans="1:10" x14ac:dyDescent="0.3">
      <c r="A9">
        <v>0.34782608695652101</v>
      </c>
      <c r="B9">
        <v>-0.98220640569395001</v>
      </c>
      <c r="C9">
        <v>10.262839879154001</v>
      </c>
      <c r="D9">
        <v>-1.24999999999999</v>
      </c>
      <c r="E9">
        <v>10.2537764350453</v>
      </c>
      <c r="F9">
        <v>-0.85106382978723305</v>
      </c>
      <c r="G9">
        <v>10.2809667673716</v>
      </c>
      <c r="H9">
        <v>0.69148936170212805</v>
      </c>
      <c r="I9">
        <v>10.1780415430267</v>
      </c>
      <c r="J9">
        <v>19.4252873563218</v>
      </c>
    </row>
    <row r="10" spans="1:10" x14ac:dyDescent="0.3">
      <c r="A10">
        <v>0.39130434782608697</v>
      </c>
      <c r="B10">
        <v>-0.68327402135231297</v>
      </c>
      <c r="C10">
        <v>10.2930513595166</v>
      </c>
      <c r="D10">
        <v>0.39893617021276601</v>
      </c>
      <c r="E10">
        <v>10.2779456193353</v>
      </c>
      <c r="F10">
        <v>0.47872340425531901</v>
      </c>
      <c r="G10">
        <v>10.3172205438066</v>
      </c>
      <c r="H10">
        <v>0.29255319148936199</v>
      </c>
      <c r="I10">
        <v>10.1928783382789</v>
      </c>
      <c r="J10">
        <v>22.643678160919499</v>
      </c>
    </row>
    <row r="11" spans="1:10" x14ac:dyDescent="0.3">
      <c r="A11">
        <v>0.434782608695652</v>
      </c>
      <c r="B11">
        <v>-0.58362989323843295</v>
      </c>
      <c r="C11">
        <v>10.3141993957703</v>
      </c>
      <c r="D11">
        <v>1.0638297872340401</v>
      </c>
      <c r="E11">
        <v>10.305135951661599</v>
      </c>
      <c r="F11">
        <v>1.25</v>
      </c>
      <c r="G11">
        <v>10.359516616314099</v>
      </c>
      <c r="H11">
        <v>0.18617021276595699</v>
      </c>
      <c r="I11">
        <v>10.207715133531099</v>
      </c>
      <c r="J11">
        <v>23.678160919540201</v>
      </c>
    </row>
    <row r="12" spans="1:10" x14ac:dyDescent="0.3">
      <c r="A12">
        <v>0.52173913043478204</v>
      </c>
      <c r="B12">
        <v>-0.78291814946619198</v>
      </c>
      <c r="C12">
        <v>10.3504531722054</v>
      </c>
      <c r="D12">
        <v>1.3829787234042501</v>
      </c>
      <c r="E12">
        <v>10.3474320241691</v>
      </c>
      <c r="F12">
        <v>1.59574468085106</v>
      </c>
      <c r="G12">
        <v>10.404833836858</v>
      </c>
      <c r="H12">
        <v>0.29255319148936199</v>
      </c>
      <c r="I12">
        <v>10.2255192878338</v>
      </c>
      <c r="J12">
        <v>19.8850574712643</v>
      </c>
    </row>
    <row r="13" spans="1:10" x14ac:dyDescent="0.3">
      <c r="A13">
        <v>0.623188405797101</v>
      </c>
      <c r="B13">
        <v>-1.0391459074733</v>
      </c>
      <c r="C13">
        <v>10.3867069486404</v>
      </c>
      <c r="D13">
        <v>1.19680851063829</v>
      </c>
      <c r="E13">
        <v>10.3897280966767</v>
      </c>
      <c r="F13">
        <v>1.3829787234042501</v>
      </c>
      <c r="G13">
        <v>10.4592145015105</v>
      </c>
      <c r="H13">
        <v>0.66489361702127703</v>
      </c>
      <c r="I13">
        <v>10.240356083086001</v>
      </c>
      <c r="J13">
        <v>15.0574712643678</v>
      </c>
    </row>
    <row r="14" spans="1:10" x14ac:dyDescent="0.3">
      <c r="A14">
        <v>0.71014492753623204</v>
      </c>
      <c r="B14">
        <v>-0.95373665480426995</v>
      </c>
      <c r="C14">
        <v>10.4259818731117</v>
      </c>
      <c r="D14">
        <v>0.50531914893617103</v>
      </c>
      <c r="E14">
        <v>10.432024169184199</v>
      </c>
      <c r="F14">
        <v>0.82446808510638403</v>
      </c>
      <c r="G14">
        <v>10.5105740181268</v>
      </c>
      <c r="H14">
        <v>0.95744680851063901</v>
      </c>
      <c r="I14">
        <v>10.2551928783382</v>
      </c>
      <c r="J14">
        <v>9.1954022988505706</v>
      </c>
    </row>
    <row r="15" spans="1:10" x14ac:dyDescent="0.3">
      <c r="A15">
        <v>0.84057971014492705</v>
      </c>
      <c r="B15">
        <v>-0.93950177935943002</v>
      </c>
      <c r="C15">
        <v>10.468277945619301</v>
      </c>
      <c r="D15">
        <v>-0.42553191489361603</v>
      </c>
      <c r="E15">
        <v>10.4803625377643</v>
      </c>
      <c r="F15">
        <v>0.10638297872340501</v>
      </c>
      <c r="G15">
        <v>10.567975830815699</v>
      </c>
      <c r="H15">
        <v>1.0638297872340401</v>
      </c>
      <c r="I15">
        <v>10.2700296735905</v>
      </c>
      <c r="J15">
        <v>3.7931034482758501</v>
      </c>
    </row>
    <row r="16" spans="1:10" x14ac:dyDescent="0.3">
      <c r="A16">
        <v>0.97101449275362295</v>
      </c>
      <c r="B16">
        <v>-0.83985765124555101</v>
      </c>
      <c r="C16">
        <v>10.5166163141993</v>
      </c>
      <c r="D16">
        <v>-1.22340425531914</v>
      </c>
      <c r="E16">
        <v>10.5347432024169</v>
      </c>
      <c r="F16">
        <v>-0.37234042553191399</v>
      </c>
      <c r="G16">
        <v>10.6253776435045</v>
      </c>
      <c r="H16">
        <v>0.93085106382978799</v>
      </c>
      <c r="I16">
        <v>10.293768545994</v>
      </c>
      <c r="J16">
        <v>0.91954022988505801</v>
      </c>
    </row>
    <row r="17" spans="1:10" x14ac:dyDescent="0.3">
      <c r="A17">
        <v>1.0434782608695601</v>
      </c>
      <c r="B17">
        <v>-0.98220640569395001</v>
      </c>
      <c r="C17">
        <v>10.558912386706901</v>
      </c>
      <c r="D17">
        <v>-1.4627659574467999</v>
      </c>
      <c r="E17">
        <v>10.567975830815699</v>
      </c>
      <c r="F17">
        <v>-0.39893617021276401</v>
      </c>
      <c r="G17">
        <v>10.676737160120799</v>
      </c>
      <c r="H17">
        <v>0.69148936170212805</v>
      </c>
      <c r="I17">
        <v>10.314540059347101</v>
      </c>
      <c r="J17">
        <v>2.2988505747126302</v>
      </c>
    </row>
    <row r="18" spans="1:10" x14ac:dyDescent="0.3">
      <c r="A18">
        <v>1.13043478260869</v>
      </c>
      <c r="B18">
        <v>-1.40925266903914</v>
      </c>
      <c r="C18">
        <v>10.601208459214501</v>
      </c>
      <c r="D18">
        <v>-1.22340425531914</v>
      </c>
      <c r="E18">
        <v>10.634441087613199</v>
      </c>
      <c r="F18" s="1">
        <v>8.8817841970012504E-16</v>
      </c>
      <c r="G18">
        <v>10.7341389728096</v>
      </c>
      <c r="H18">
        <v>0.45212765957446899</v>
      </c>
      <c r="I18">
        <v>10.3442136498516</v>
      </c>
      <c r="J18">
        <v>4.4827586206896504</v>
      </c>
    </row>
    <row r="19" spans="1:10" x14ac:dyDescent="0.3">
      <c r="A19">
        <v>1.1884057971014399</v>
      </c>
      <c r="B19">
        <v>-1.9074733096085399</v>
      </c>
      <c r="C19">
        <v>10.652567975830801</v>
      </c>
      <c r="D19">
        <v>-0.69148936170212605</v>
      </c>
      <c r="E19">
        <v>10.709969788519601</v>
      </c>
      <c r="F19">
        <v>0.37234042553191499</v>
      </c>
      <c r="G19">
        <v>10.797583081570901</v>
      </c>
      <c r="H19">
        <v>0.29255319148936199</v>
      </c>
      <c r="I19">
        <v>10.373887240356</v>
      </c>
      <c r="J19">
        <v>7.0114942528735602</v>
      </c>
    </row>
    <row r="20" spans="1:10" x14ac:dyDescent="0.3">
      <c r="A20">
        <v>1.2173913043478199</v>
      </c>
      <c r="B20">
        <v>-2.2918149466192101</v>
      </c>
      <c r="C20">
        <v>10.7220543806646</v>
      </c>
      <c r="D20">
        <v>-7.9787234042552002E-2</v>
      </c>
      <c r="E20">
        <v>10.7552870090634</v>
      </c>
      <c r="F20">
        <v>0.37234042553191499</v>
      </c>
      <c r="G20">
        <v>10.8851963746223</v>
      </c>
      <c r="H20">
        <v>0.29255319148936199</v>
      </c>
      <c r="I20">
        <v>10.40059347181</v>
      </c>
      <c r="J20">
        <v>8.8505747126436702</v>
      </c>
    </row>
    <row r="21" spans="1:10" x14ac:dyDescent="0.3">
      <c r="A21">
        <v>1.26086956521739</v>
      </c>
      <c r="B21">
        <v>-2.43416370106761</v>
      </c>
      <c r="C21">
        <v>10.767371601208399</v>
      </c>
      <c r="D21" s="1">
        <v>0</v>
      </c>
      <c r="E21">
        <v>10.894259818731101</v>
      </c>
      <c r="F21">
        <v>0.159574468085107</v>
      </c>
      <c r="G21">
        <v>10.948640483383601</v>
      </c>
      <c r="H21">
        <v>0.29255319148936199</v>
      </c>
      <c r="I21">
        <v>10.433234421364901</v>
      </c>
      <c r="J21">
        <v>7.58620689655171</v>
      </c>
    </row>
    <row r="22" spans="1:10" x14ac:dyDescent="0.3">
      <c r="A22">
        <v>1.3333333333333299</v>
      </c>
      <c r="B22">
        <v>-1.9928825622775701</v>
      </c>
      <c r="C22">
        <v>10.8549848942598</v>
      </c>
      <c r="D22">
        <v>-0.13297872340425401</v>
      </c>
      <c r="E22">
        <v>10.972809667673699</v>
      </c>
      <c r="F22">
        <v>5.31914893617031E-2</v>
      </c>
      <c r="I22">
        <v>10.4718100890207</v>
      </c>
      <c r="J22">
        <v>4.13793103448275</v>
      </c>
    </row>
    <row r="23" spans="1:10" x14ac:dyDescent="0.3">
      <c r="A23">
        <v>1.37681159420289</v>
      </c>
      <c r="B23">
        <v>-1.49466192170818</v>
      </c>
      <c r="C23">
        <v>10.9365558912386</v>
      </c>
      <c r="D23">
        <v>-0.18617021276595599</v>
      </c>
      <c r="I23">
        <v>10.504451038575599</v>
      </c>
      <c r="J23">
        <v>1.14942528735631</v>
      </c>
    </row>
    <row r="24" spans="1:10" x14ac:dyDescent="0.3">
      <c r="A24">
        <v>1.4492753623188399</v>
      </c>
      <c r="B24">
        <v>-1.3238434163701001</v>
      </c>
      <c r="I24">
        <v>10.5608308605341</v>
      </c>
      <c r="J24">
        <v>-0.91954022988505801</v>
      </c>
    </row>
    <row r="25" spans="1:10" x14ac:dyDescent="0.3">
      <c r="A25">
        <v>1.60869565217391</v>
      </c>
      <c r="B25">
        <v>-1.6797153024911</v>
      </c>
      <c r="C25">
        <v>11</v>
      </c>
      <c r="D25">
        <v>-0.37234042553191399</v>
      </c>
      <c r="I25">
        <v>10.6379821958456</v>
      </c>
      <c r="J25">
        <v>0</v>
      </c>
    </row>
    <row r="26" spans="1:10" x14ac:dyDescent="0.3">
      <c r="A26">
        <v>1.75362318840579</v>
      </c>
      <c r="B26">
        <v>-1.5373665480426999</v>
      </c>
      <c r="C26">
        <v>11.006042296072501</v>
      </c>
      <c r="D26">
        <v>-0.39893617021276401</v>
      </c>
      <c r="I26">
        <v>10.718100890207699</v>
      </c>
      <c r="J26">
        <v>0.22988505747125701</v>
      </c>
    </row>
    <row r="27" spans="1:10" x14ac:dyDescent="0.3">
      <c r="A27">
        <v>1.85507246376811</v>
      </c>
      <c r="B27">
        <v>-1.5373665480426999</v>
      </c>
      <c r="C27">
        <v>11.102719033232599</v>
      </c>
      <c r="D27">
        <v>-1.1170212765957399</v>
      </c>
      <c r="I27">
        <v>10.824925816023701</v>
      </c>
      <c r="J27">
        <v>0.114942528735632</v>
      </c>
    </row>
    <row r="28" spans="1:10" x14ac:dyDescent="0.3">
      <c r="A28">
        <v>1.98550724637681</v>
      </c>
      <c r="B28">
        <v>-1.3950177935943</v>
      </c>
      <c r="C28">
        <v>11.1450151057401</v>
      </c>
      <c r="D28">
        <v>-1.88829787234042</v>
      </c>
      <c r="E28">
        <v>11</v>
      </c>
      <c r="F28">
        <v>-2.6595744680850599E-2</v>
      </c>
      <c r="I28">
        <v>10.899109792284801</v>
      </c>
      <c r="J28">
        <v>0</v>
      </c>
    </row>
    <row r="29" spans="1:10" x14ac:dyDescent="0.3">
      <c r="A29">
        <v>2.1159420289855002</v>
      </c>
      <c r="B29">
        <v>-1.76512455516014</v>
      </c>
      <c r="C29">
        <v>11.1691842900302</v>
      </c>
      <c r="D29">
        <v>-2.7127659574468002</v>
      </c>
      <c r="E29">
        <v>11.036253776435</v>
      </c>
      <c r="F29">
        <v>-0.26595744680850902</v>
      </c>
      <c r="I29">
        <v>11</v>
      </c>
      <c r="J29">
        <v>0</v>
      </c>
    </row>
    <row r="30" spans="1:10" x14ac:dyDescent="0.3">
      <c r="A30">
        <v>2.1739130434782599</v>
      </c>
      <c r="B30">
        <v>-2.2206405693950102</v>
      </c>
      <c r="C30">
        <v>11.190332326283899</v>
      </c>
      <c r="D30">
        <v>-3.4840425531914798</v>
      </c>
      <c r="E30">
        <v>11.1087613293051</v>
      </c>
      <c r="F30">
        <v>-0.61170212765957299</v>
      </c>
    </row>
    <row r="31" spans="1:10" x14ac:dyDescent="0.3">
      <c r="A31">
        <v>2.2318840579710102</v>
      </c>
      <c r="B31">
        <v>-2.7330960854092501</v>
      </c>
      <c r="C31">
        <v>11.208459214501501</v>
      </c>
      <c r="D31">
        <v>-3.8031914893617</v>
      </c>
      <c r="E31">
        <v>11.1450151057401</v>
      </c>
      <c r="F31">
        <v>-1.0106382978723401</v>
      </c>
    </row>
    <row r="32" spans="1:10" x14ac:dyDescent="0.3">
      <c r="A32">
        <v>2.27536231884058</v>
      </c>
      <c r="B32">
        <v>-2.90391459074733</v>
      </c>
      <c r="C32">
        <v>11.2356495468277</v>
      </c>
      <c r="D32">
        <v>-3.08510638297872</v>
      </c>
      <c r="E32">
        <v>11.1782477341389</v>
      </c>
      <c r="F32">
        <v>-1.7819148936170199</v>
      </c>
      <c r="G32">
        <v>11.027190332326199</v>
      </c>
      <c r="H32">
        <v>0.319148936170213</v>
      </c>
    </row>
    <row r="33" spans="1:10" x14ac:dyDescent="0.3">
      <c r="A33">
        <v>2.3188405797101401</v>
      </c>
      <c r="B33">
        <v>-2.6619217081850501</v>
      </c>
      <c r="C33">
        <v>11.2567975830815</v>
      </c>
      <c r="D33">
        <v>-2.0212765957446801</v>
      </c>
      <c r="E33">
        <v>11.2054380664652</v>
      </c>
      <c r="F33">
        <v>-2.3404255319148901</v>
      </c>
      <c r="G33">
        <v>11.0876132930513</v>
      </c>
      <c r="H33">
        <v>0.45212765957446899</v>
      </c>
    </row>
    <row r="34" spans="1:10" x14ac:dyDescent="0.3">
      <c r="A34">
        <v>2.36231884057971</v>
      </c>
      <c r="B34">
        <v>-2.2206405693950102</v>
      </c>
      <c r="C34">
        <v>11.2779456193353</v>
      </c>
      <c r="D34">
        <v>-0.58510638297872197</v>
      </c>
      <c r="E34">
        <v>11.232628398791499</v>
      </c>
      <c r="F34">
        <v>-1.9946808510638201</v>
      </c>
      <c r="G34">
        <v>11.1389728096676</v>
      </c>
      <c r="H34">
        <v>0.82446808510638403</v>
      </c>
    </row>
    <row r="35" spans="1:10" x14ac:dyDescent="0.3">
      <c r="A35">
        <v>2.4637681159420199</v>
      </c>
      <c r="B35">
        <v>-1.7366548042704599</v>
      </c>
      <c r="C35">
        <v>11.302114803625299</v>
      </c>
      <c r="D35">
        <v>0.71808510638297895</v>
      </c>
      <c r="E35">
        <v>11.2537764350453</v>
      </c>
      <c r="F35">
        <v>-0.98404255319148703</v>
      </c>
      <c r="G35">
        <v>11.1993957703927</v>
      </c>
      <c r="H35">
        <v>1.4361702127659499</v>
      </c>
    </row>
    <row r="36" spans="1:10" x14ac:dyDescent="0.3">
      <c r="A36">
        <v>2.6231884057971002</v>
      </c>
      <c r="B36">
        <v>-2.0498220640569298</v>
      </c>
      <c r="C36">
        <v>11.320241691842901</v>
      </c>
      <c r="D36">
        <v>1.1436170212765899</v>
      </c>
      <c r="E36">
        <v>11.274924471299</v>
      </c>
      <c r="F36">
        <v>0.18617021276595699</v>
      </c>
      <c r="G36">
        <v>11.226586102719001</v>
      </c>
      <c r="H36">
        <v>1.4361702127659499</v>
      </c>
    </row>
    <row r="37" spans="1:10" x14ac:dyDescent="0.3">
      <c r="A37">
        <v>2.7826086956521698</v>
      </c>
      <c r="B37">
        <v>-1.86476868327402</v>
      </c>
      <c r="C37">
        <v>11.353474320241601</v>
      </c>
      <c r="D37">
        <v>1.3829787234042501</v>
      </c>
      <c r="E37">
        <v>11.2990936555891</v>
      </c>
      <c r="F37">
        <v>1.0372340425531901</v>
      </c>
      <c r="G37">
        <v>11.2719033232628</v>
      </c>
      <c r="H37">
        <v>0.93085106382978799</v>
      </c>
      <c r="I37">
        <v>11.0563798219584</v>
      </c>
      <c r="J37">
        <v>0.45977011494252101</v>
      </c>
    </row>
    <row r="38" spans="1:10" x14ac:dyDescent="0.3">
      <c r="A38">
        <v>2.8405797101449202</v>
      </c>
      <c r="B38">
        <v>-1.85053380782918</v>
      </c>
      <c r="C38">
        <v>11.3897280966767</v>
      </c>
      <c r="D38">
        <v>1.19680851063829</v>
      </c>
      <c r="E38">
        <v>11.3504531722054</v>
      </c>
      <c r="F38">
        <v>1.56914893617021</v>
      </c>
      <c r="G38">
        <v>11.3081570996978</v>
      </c>
      <c r="H38">
        <v>0.42553191489361802</v>
      </c>
      <c r="I38">
        <v>11.0979228486646</v>
      </c>
      <c r="J38">
        <v>2.5287356321839098</v>
      </c>
    </row>
    <row r="39" spans="1:10" x14ac:dyDescent="0.3">
      <c r="A39">
        <v>3</v>
      </c>
      <c r="B39">
        <v>-1.66548042704626</v>
      </c>
      <c r="C39">
        <v>11.429003021148</v>
      </c>
      <c r="D39">
        <v>0.45212765957446899</v>
      </c>
      <c r="E39">
        <v>11.395770392749199</v>
      </c>
      <c r="F39">
        <v>1.3563829787234001</v>
      </c>
      <c r="G39">
        <v>11.3685800604229</v>
      </c>
      <c r="H39">
        <v>0.18617021276595699</v>
      </c>
      <c r="I39">
        <v>11.1246290801186</v>
      </c>
      <c r="J39">
        <v>5.6321839080459704</v>
      </c>
    </row>
    <row r="40" spans="1:10" x14ac:dyDescent="0.3">
      <c r="A40">
        <v>3.1159420289855002</v>
      </c>
      <c r="B40">
        <v>-1.9928825622775701</v>
      </c>
      <c r="C40">
        <v>11.4803625377643</v>
      </c>
      <c r="D40">
        <v>-0.55851063829787095</v>
      </c>
      <c r="E40">
        <v>11.432024169184199</v>
      </c>
      <c r="F40">
        <v>0.87765957446808596</v>
      </c>
      <c r="G40">
        <v>11.4078549848942</v>
      </c>
      <c r="H40">
        <v>0.29255319148936199</v>
      </c>
      <c r="I40">
        <v>11.1454005934718</v>
      </c>
      <c r="J40">
        <v>9.8850574712643606</v>
      </c>
    </row>
    <row r="41" spans="1:10" x14ac:dyDescent="0.3">
      <c r="A41">
        <v>3.2028985507246301</v>
      </c>
      <c r="B41">
        <v>-2.4911032028469702</v>
      </c>
      <c r="C41">
        <v>11.5226586102719</v>
      </c>
      <c r="D41">
        <v>-1.24999999999999</v>
      </c>
      <c r="E41">
        <v>11.471299093655499</v>
      </c>
      <c r="F41">
        <v>0.26595744680851102</v>
      </c>
      <c r="G41">
        <v>11.456193353474299</v>
      </c>
      <c r="H41">
        <v>0.58510638297872397</v>
      </c>
      <c r="I41">
        <v>11.163204747774399</v>
      </c>
      <c r="J41">
        <v>15.0574712643678</v>
      </c>
    </row>
    <row r="42" spans="1:10" x14ac:dyDescent="0.3">
      <c r="A42">
        <v>3.2463768115942</v>
      </c>
      <c r="B42">
        <v>-2.9893238434163698</v>
      </c>
      <c r="C42">
        <v>11.558912386706901</v>
      </c>
      <c r="D42">
        <v>-1.4627659574467999</v>
      </c>
      <c r="E42">
        <v>11.525679758308099</v>
      </c>
      <c r="F42">
        <v>-0.31914893617021201</v>
      </c>
      <c r="G42">
        <v>11.525679758308099</v>
      </c>
      <c r="H42">
        <v>0.98404255319149003</v>
      </c>
      <c r="I42">
        <v>11.1810089020771</v>
      </c>
      <c r="J42">
        <v>19.999999999999901</v>
      </c>
    </row>
    <row r="43" spans="1:10" x14ac:dyDescent="0.3">
      <c r="A43">
        <v>3.27536231884058</v>
      </c>
      <c r="B43">
        <v>-3.1316725978647599</v>
      </c>
      <c r="C43">
        <v>11.601208459214501</v>
      </c>
      <c r="D43">
        <v>-1.24999999999999</v>
      </c>
      <c r="E43">
        <v>11.567975830815699</v>
      </c>
      <c r="F43">
        <v>-0.37234042553191399</v>
      </c>
      <c r="G43">
        <v>11.567975830815699</v>
      </c>
      <c r="H43">
        <v>1.0638297872340401</v>
      </c>
      <c r="I43">
        <v>11.204747774480699</v>
      </c>
      <c r="J43">
        <v>23.678160919540201</v>
      </c>
    </row>
    <row r="44" spans="1:10" x14ac:dyDescent="0.3">
      <c r="A44">
        <v>3.3478260869565202</v>
      </c>
      <c r="B44">
        <v>-2.6619217081850501</v>
      </c>
      <c r="C44">
        <v>11.676737160120799</v>
      </c>
      <c r="D44">
        <v>-0.45212765957446699</v>
      </c>
      <c r="E44">
        <v>11.6223564954682</v>
      </c>
      <c r="F44">
        <v>-0.10638297872340199</v>
      </c>
      <c r="G44">
        <v>11.6132930513595</v>
      </c>
      <c r="H44">
        <v>0.98404255319149003</v>
      </c>
      <c r="I44">
        <v>11.2284866468842</v>
      </c>
      <c r="J44">
        <v>19.8850574712643</v>
      </c>
    </row>
    <row r="45" spans="1:10" x14ac:dyDescent="0.3">
      <c r="A45">
        <v>3.3913043478260798</v>
      </c>
      <c r="B45">
        <v>-2.2775800711743699</v>
      </c>
      <c r="C45">
        <v>11.7250755287009</v>
      </c>
      <c r="D45">
        <v>-7.9787234042552002E-2</v>
      </c>
      <c r="E45">
        <v>11.6858006042296</v>
      </c>
      <c r="F45">
        <v>0.29255319148936199</v>
      </c>
      <c r="G45">
        <v>11.6827794561933</v>
      </c>
      <c r="H45">
        <v>0.63829787234042601</v>
      </c>
      <c r="I45">
        <v>11.2462908011869</v>
      </c>
      <c r="J45">
        <v>12.413793103448199</v>
      </c>
    </row>
    <row r="46" spans="1:10" x14ac:dyDescent="0.3">
      <c r="A46">
        <v>3.4782608695652102</v>
      </c>
      <c r="B46">
        <v>-1.95017793594306</v>
      </c>
      <c r="C46">
        <v>11.779456193353401</v>
      </c>
      <c r="D46">
        <v>-2.6595744680850599E-2</v>
      </c>
      <c r="E46">
        <v>11.746223564954599</v>
      </c>
      <c r="F46">
        <v>0.39893617021276601</v>
      </c>
      <c r="G46">
        <v>11.7583081570996</v>
      </c>
      <c r="H46">
        <v>0.34574468085106402</v>
      </c>
      <c r="I46">
        <v>11.258160237388701</v>
      </c>
      <c r="J46">
        <v>5.8620689655172296</v>
      </c>
    </row>
    <row r="47" spans="1:10" x14ac:dyDescent="0.3">
      <c r="A47">
        <v>3.63768115942029</v>
      </c>
      <c r="B47">
        <v>-2.23487544483985</v>
      </c>
      <c r="C47">
        <v>11.858006042295999</v>
      </c>
      <c r="D47">
        <v>-0.13297872340425401</v>
      </c>
      <c r="E47">
        <v>11.839879154078499</v>
      </c>
      <c r="F47">
        <v>0.18617021276595699</v>
      </c>
      <c r="G47">
        <v>11.8519637462235</v>
      </c>
      <c r="H47">
        <v>0.29255319148936199</v>
      </c>
      <c r="I47">
        <v>11.2908011869436</v>
      </c>
      <c r="J47">
        <v>1.0344827586206899</v>
      </c>
    </row>
    <row r="48" spans="1:10" x14ac:dyDescent="0.3">
      <c r="A48">
        <v>3.76811594202898</v>
      </c>
      <c r="B48">
        <v>-2.06405693950177</v>
      </c>
      <c r="C48">
        <v>11.9365558912386</v>
      </c>
      <c r="D48">
        <v>-0.18617021276595599</v>
      </c>
      <c r="E48">
        <v>11.9244712990936</v>
      </c>
      <c r="F48">
        <v>0.159574468085107</v>
      </c>
      <c r="G48">
        <v>11.930513595166101</v>
      </c>
      <c r="H48">
        <v>0.29255319148936199</v>
      </c>
      <c r="I48">
        <v>11.3264094955489</v>
      </c>
      <c r="J48">
        <v>3.3333333333333299</v>
      </c>
    </row>
    <row r="49" spans="1:10" x14ac:dyDescent="0.3">
      <c r="A49">
        <v>3.8695652173913002</v>
      </c>
      <c r="B49">
        <v>-2.0071174377224099</v>
      </c>
      <c r="C49">
        <v>12</v>
      </c>
      <c r="D49">
        <v>-0.37234042553191399</v>
      </c>
      <c r="E49">
        <v>12.006042296072501</v>
      </c>
      <c r="F49">
        <v>-2.6595744680850599E-2</v>
      </c>
      <c r="G49">
        <v>12</v>
      </c>
      <c r="H49">
        <v>0.29255319148936199</v>
      </c>
      <c r="I49">
        <v>11.356083086053401</v>
      </c>
      <c r="J49">
        <v>5.4022988505746996</v>
      </c>
    </row>
    <row r="50" spans="1:10" x14ac:dyDescent="0.3">
      <c r="A50">
        <v>4.0144927536231796</v>
      </c>
      <c r="B50">
        <v>-1.8220640569394999</v>
      </c>
      <c r="I50">
        <v>11.403560830860499</v>
      </c>
      <c r="J50">
        <v>8.7356321839080397</v>
      </c>
    </row>
    <row r="51" spans="1:10" x14ac:dyDescent="0.3">
      <c r="A51">
        <v>4.1594202898550696</v>
      </c>
      <c r="B51">
        <v>-2.2775800711743699</v>
      </c>
      <c r="I51">
        <v>11.4421364985163</v>
      </c>
      <c r="J51">
        <v>7.1264367816091898</v>
      </c>
    </row>
    <row r="52" spans="1:10" x14ac:dyDescent="0.3">
      <c r="A52">
        <v>4.2318840579710102</v>
      </c>
      <c r="B52">
        <v>-2.8612099644128102</v>
      </c>
      <c r="I52">
        <v>11.477744807121599</v>
      </c>
      <c r="J52">
        <v>3.3333333333333299</v>
      </c>
    </row>
    <row r="53" spans="1:10" x14ac:dyDescent="0.3">
      <c r="A53">
        <v>4.2898550724637596</v>
      </c>
      <c r="B53">
        <v>-3.2455516014234802</v>
      </c>
      <c r="I53">
        <v>11.522255192878299</v>
      </c>
      <c r="J53">
        <v>-0.114942528735639</v>
      </c>
    </row>
    <row r="54" spans="1:10" x14ac:dyDescent="0.3">
      <c r="A54">
        <v>4.3478260869565197</v>
      </c>
      <c r="B54">
        <v>-2.80427046263345</v>
      </c>
      <c r="I54">
        <v>11.5637982195845</v>
      </c>
      <c r="J54">
        <v>-0.91954022988505801</v>
      </c>
    </row>
    <row r="55" spans="1:10" x14ac:dyDescent="0.3">
      <c r="A55">
        <v>4.4057971014492701</v>
      </c>
      <c r="B55">
        <v>-2.3487544483985698</v>
      </c>
      <c r="I55">
        <v>11.626112759643901</v>
      </c>
      <c r="J55">
        <v>-0.114942528735639</v>
      </c>
    </row>
    <row r="56" spans="1:10" x14ac:dyDescent="0.3">
      <c r="A56">
        <v>4.4927536231884</v>
      </c>
      <c r="B56">
        <v>-2.0498220640569298</v>
      </c>
      <c r="I56">
        <v>11.7121661721068</v>
      </c>
      <c r="J56">
        <v>0.22988505747125701</v>
      </c>
    </row>
    <row r="57" spans="1:10" x14ac:dyDescent="0.3">
      <c r="A57">
        <v>4.5797101449275299</v>
      </c>
      <c r="B57">
        <v>-2.2491103202846898</v>
      </c>
      <c r="I57">
        <v>11.798219584569701</v>
      </c>
      <c r="J57">
        <v>0.114942528735632</v>
      </c>
    </row>
    <row r="58" spans="1:10" x14ac:dyDescent="0.3">
      <c r="A58">
        <v>4.63768115942029</v>
      </c>
      <c r="B58">
        <v>-2.3202846975088902</v>
      </c>
      <c r="I58">
        <v>11.9228486646884</v>
      </c>
      <c r="J58">
        <v>0</v>
      </c>
    </row>
    <row r="59" spans="1:10" x14ac:dyDescent="0.3">
      <c r="A59">
        <v>4.7826086956521703</v>
      </c>
      <c r="B59">
        <v>-2.1494661921708098</v>
      </c>
      <c r="I59">
        <v>12</v>
      </c>
      <c r="J59">
        <v>-0.114942528735639</v>
      </c>
    </row>
    <row r="60" spans="1:10" x14ac:dyDescent="0.3">
      <c r="A60">
        <v>4.8840579710144896</v>
      </c>
      <c r="B60">
        <v>-2.0782918149466099</v>
      </c>
    </row>
    <row r="61" spans="1:10" x14ac:dyDescent="0.3">
      <c r="A61">
        <v>5.0289855072463698</v>
      </c>
      <c r="B61">
        <v>-1.8932384341637001</v>
      </c>
    </row>
    <row r="62" spans="1:10" x14ac:dyDescent="0.3">
      <c r="A62">
        <v>5.13043478260869</v>
      </c>
      <c r="B62">
        <v>-2.2775800711743699</v>
      </c>
    </row>
    <row r="63" spans="1:10" x14ac:dyDescent="0.3">
      <c r="A63">
        <v>5.2173913043478199</v>
      </c>
      <c r="B63">
        <v>-2.70462633451957</v>
      </c>
    </row>
    <row r="64" spans="1:10" x14ac:dyDescent="0.3">
      <c r="A64">
        <v>5.2898550724637596</v>
      </c>
      <c r="B64">
        <v>-3.3024911032028399</v>
      </c>
    </row>
    <row r="65" spans="1:2" x14ac:dyDescent="0.3">
      <c r="A65">
        <v>5.36231884057971</v>
      </c>
      <c r="B65">
        <v>-2.8896797153024898</v>
      </c>
    </row>
    <row r="66" spans="1:2" x14ac:dyDescent="0.3">
      <c r="A66">
        <v>5.4202898550724603</v>
      </c>
      <c r="B66">
        <v>-2.3772241992882499</v>
      </c>
    </row>
    <row r="67" spans="1:2" x14ac:dyDescent="0.3">
      <c r="A67">
        <v>5.4927536231884</v>
      </c>
      <c r="B67">
        <v>-2.1067615658362899</v>
      </c>
    </row>
    <row r="68" spans="1:2" x14ac:dyDescent="0.3">
      <c r="A68">
        <v>5.6521739130434696</v>
      </c>
      <c r="B68">
        <v>-2.3772241992882499</v>
      </c>
    </row>
    <row r="69" spans="1:2" x14ac:dyDescent="0.3">
      <c r="A69">
        <v>5.7826086956521703</v>
      </c>
      <c r="B69">
        <v>-2.1921708185053301</v>
      </c>
    </row>
    <row r="70" spans="1:2" x14ac:dyDescent="0.3">
      <c r="A70">
        <v>5.8985507246376798</v>
      </c>
      <c r="B70">
        <v>-2.1209964412811302</v>
      </c>
    </row>
    <row r="71" spans="1:2" x14ac:dyDescent="0.3">
      <c r="A71">
        <v>6.0434782608695601</v>
      </c>
      <c r="B71">
        <v>-1.93594306049822</v>
      </c>
    </row>
    <row r="72" spans="1:2" x14ac:dyDescent="0.3">
      <c r="A72">
        <v>6.1739130434782599</v>
      </c>
      <c r="B72">
        <v>-2.3772241992882499</v>
      </c>
    </row>
    <row r="73" spans="1:2" x14ac:dyDescent="0.3">
      <c r="A73">
        <v>6.2463768115942004</v>
      </c>
      <c r="B73">
        <v>-2.8896797153024898</v>
      </c>
    </row>
    <row r="74" spans="1:2" x14ac:dyDescent="0.3">
      <c r="A74">
        <v>6.3043478260869499</v>
      </c>
      <c r="B74">
        <v>-3.33096085409252</v>
      </c>
    </row>
    <row r="75" spans="1:2" x14ac:dyDescent="0.3">
      <c r="A75">
        <v>6.3768115942028896</v>
      </c>
      <c r="B75">
        <v>-2.9181494661921699</v>
      </c>
    </row>
    <row r="76" spans="1:2" x14ac:dyDescent="0.3">
      <c r="A76">
        <v>6.4202898550724603</v>
      </c>
      <c r="B76">
        <v>-2.4626334519572901</v>
      </c>
    </row>
    <row r="77" spans="1:2" x14ac:dyDescent="0.3">
      <c r="A77">
        <v>6.4927536231884</v>
      </c>
      <c r="B77">
        <v>-2.13523131672597</v>
      </c>
    </row>
    <row r="78" spans="1:2" x14ac:dyDescent="0.3">
      <c r="A78">
        <v>6.6521739130434696</v>
      </c>
      <c r="B78">
        <v>-2.40569395017793</v>
      </c>
    </row>
    <row r="79" spans="1:2" x14ac:dyDescent="0.3">
      <c r="A79">
        <v>6.7826086956521703</v>
      </c>
      <c r="B79">
        <v>-2.2206405693950102</v>
      </c>
    </row>
    <row r="80" spans="1:2" x14ac:dyDescent="0.3">
      <c r="A80">
        <v>6.8985507246376798</v>
      </c>
      <c r="B80">
        <v>-2.1494661921708098</v>
      </c>
    </row>
    <row r="81" spans="1:5" x14ac:dyDescent="0.3">
      <c r="A81">
        <v>7.0289855072463698</v>
      </c>
      <c r="B81">
        <v>-1.95017793594306</v>
      </c>
    </row>
    <row r="82" spans="1:5" x14ac:dyDescent="0.3">
      <c r="A82">
        <v>7.1449275362318803</v>
      </c>
      <c r="B82">
        <v>-2.2064056939501699</v>
      </c>
    </row>
    <row r="83" spans="1:5" x14ac:dyDescent="0.3">
      <c r="A83">
        <v>7.2028985507246297</v>
      </c>
      <c r="B83">
        <v>-2.5480427046263299</v>
      </c>
    </row>
    <row r="84" spans="1:5" x14ac:dyDescent="0.3">
      <c r="A84">
        <v>7.2608695652173898</v>
      </c>
      <c r="B84">
        <v>-2.9893238434163698</v>
      </c>
    </row>
    <row r="85" spans="1:5" x14ac:dyDescent="0.3">
      <c r="A85">
        <v>7.3188405797101401</v>
      </c>
      <c r="B85">
        <v>-3.3594306049822</v>
      </c>
    </row>
    <row r="86" spans="1:5" x14ac:dyDescent="0.3">
      <c r="A86">
        <v>7.3768115942028896</v>
      </c>
      <c r="B86">
        <v>-2.97508896797153</v>
      </c>
    </row>
    <row r="87" spans="1:5" x14ac:dyDescent="0.3">
      <c r="A87">
        <v>7.4347826086956497</v>
      </c>
      <c r="B87">
        <v>-2.50533807829181</v>
      </c>
    </row>
    <row r="88" spans="1:5" x14ac:dyDescent="0.3">
      <c r="A88">
        <v>7.5072463768115902</v>
      </c>
      <c r="B88">
        <v>-2.1494661921708098</v>
      </c>
    </row>
    <row r="89" spans="1:5" x14ac:dyDescent="0.3">
      <c r="A89">
        <v>7.6666666666666599</v>
      </c>
      <c r="B89">
        <v>-2.4199288256227698</v>
      </c>
    </row>
    <row r="90" spans="1:5" x14ac:dyDescent="0.3">
      <c r="A90">
        <v>7.7536231884057898</v>
      </c>
      <c r="B90">
        <v>-2.3202846975088902</v>
      </c>
    </row>
    <row r="91" spans="1:5" x14ac:dyDescent="0.3">
      <c r="A91">
        <v>7.8405797101449197</v>
      </c>
      <c r="B91">
        <v>-2.2064056939501699</v>
      </c>
    </row>
    <row r="92" spans="1:5" x14ac:dyDescent="0.3">
      <c r="A92">
        <v>7.9130434782608701</v>
      </c>
      <c r="B92">
        <v>-2.1637010676156501</v>
      </c>
    </row>
    <row r="93" spans="1:5" x14ac:dyDescent="0.3">
      <c r="A93">
        <v>8.0579710144927503</v>
      </c>
      <c r="B93">
        <v>-1.9786476868327401</v>
      </c>
    </row>
    <row r="94" spans="1:5" x14ac:dyDescent="0.3">
      <c r="A94">
        <v>8.1739130434782599</v>
      </c>
      <c r="B94">
        <v>-2.3202846975088902</v>
      </c>
    </row>
    <row r="95" spans="1:5" x14ac:dyDescent="0.3">
      <c r="A95">
        <v>8.2463768115941996</v>
      </c>
      <c r="B95">
        <v>-2.7330960854092501</v>
      </c>
      <c r="C95" t="s">
        <v>24</v>
      </c>
      <c r="D95">
        <v>1</v>
      </c>
      <c r="E95" t="s">
        <v>25</v>
      </c>
    </row>
    <row r="96" spans="1:5" x14ac:dyDescent="0.3">
      <c r="A96">
        <v>8.3188405797101392</v>
      </c>
      <c r="B96">
        <v>-3.3451957295373602</v>
      </c>
      <c r="D96" t="s">
        <v>26</v>
      </c>
    </row>
    <row r="97" spans="1:5" x14ac:dyDescent="0.3">
      <c r="A97">
        <v>8.3913043478260807</v>
      </c>
      <c r="B97">
        <v>-2.9181494661921699</v>
      </c>
      <c r="D97">
        <f t="shared" ref="D97:D106" si="0">A93-8</f>
        <v>5.7971014492750328E-2</v>
      </c>
      <c r="E97">
        <v>-1.9786476868327401</v>
      </c>
    </row>
    <row r="98" spans="1:5" x14ac:dyDescent="0.3">
      <c r="A98">
        <v>8.4347826086956506</v>
      </c>
      <c r="B98">
        <v>-2.4911032028469702</v>
      </c>
      <c r="D98">
        <f t="shared" si="0"/>
        <v>0.17391304347825987</v>
      </c>
      <c r="E98">
        <v>-2.3202846975088902</v>
      </c>
    </row>
    <row r="99" spans="1:5" x14ac:dyDescent="0.3">
      <c r="A99">
        <v>8.5217391304347796</v>
      </c>
      <c r="B99">
        <v>-2.1637010676156501</v>
      </c>
      <c r="D99">
        <f t="shared" si="0"/>
        <v>0.24637681159419955</v>
      </c>
      <c r="E99">
        <v>-2.7330960854092501</v>
      </c>
    </row>
    <row r="100" spans="1:5" x14ac:dyDescent="0.3">
      <c r="A100">
        <v>8.6811594202898501</v>
      </c>
      <c r="B100">
        <v>-2.43416370106761</v>
      </c>
      <c r="D100">
        <f t="shared" si="0"/>
        <v>0.31884057971013924</v>
      </c>
      <c r="E100">
        <v>-3.3451957295373602</v>
      </c>
    </row>
    <row r="101" spans="1:5" x14ac:dyDescent="0.3">
      <c r="A101">
        <v>8.7971014492753596</v>
      </c>
      <c r="B101">
        <v>-2.2491103202846898</v>
      </c>
      <c r="D101">
        <f t="shared" si="0"/>
        <v>0.3913043478260807</v>
      </c>
      <c r="E101">
        <v>-2.9181494661921699</v>
      </c>
    </row>
    <row r="102" spans="1:5" x14ac:dyDescent="0.3">
      <c r="A102">
        <v>8.9130434782608692</v>
      </c>
      <c r="B102">
        <v>-2.1779359430604899</v>
      </c>
      <c r="D102">
        <f t="shared" si="0"/>
        <v>0.43478260869565055</v>
      </c>
      <c r="E102">
        <v>-2.4911032028469702</v>
      </c>
    </row>
    <row r="103" spans="1:5" x14ac:dyDescent="0.3">
      <c r="A103">
        <v>9.0579710144927503</v>
      </c>
      <c r="B103">
        <v>-1.9786476868327401</v>
      </c>
      <c r="D103">
        <f t="shared" si="0"/>
        <v>0.5217391304347796</v>
      </c>
      <c r="E103">
        <v>-2.1637010676156501</v>
      </c>
    </row>
    <row r="104" spans="1:5" x14ac:dyDescent="0.3">
      <c r="A104">
        <v>9.1739130434782599</v>
      </c>
      <c r="B104">
        <v>-2.30604982206405</v>
      </c>
      <c r="D104">
        <f t="shared" si="0"/>
        <v>0.6811594202898501</v>
      </c>
      <c r="E104">
        <v>-2.43416370106761</v>
      </c>
    </row>
    <row r="105" spans="1:5" x14ac:dyDescent="0.3">
      <c r="A105">
        <v>9.2608695652173907</v>
      </c>
      <c r="B105">
        <v>-2.7615658362989302</v>
      </c>
      <c r="D105">
        <f t="shared" si="0"/>
        <v>0.79710144927535964</v>
      </c>
      <c r="E105">
        <v>-2.2491103202846898</v>
      </c>
    </row>
    <row r="106" spans="1:5" x14ac:dyDescent="0.3">
      <c r="A106">
        <v>9.3333333333333304</v>
      </c>
      <c r="B106">
        <v>-3.3594306049822</v>
      </c>
      <c r="D106">
        <f t="shared" si="0"/>
        <v>0.91304347826086918</v>
      </c>
      <c r="E106">
        <v>-2.1779359430604899</v>
      </c>
    </row>
    <row r="107" spans="1:5" x14ac:dyDescent="0.3">
      <c r="A107">
        <v>9.4057971014492701</v>
      </c>
      <c r="B107">
        <v>-2.9893238434163698</v>
      </c>
    </row>
    <row r="108" spans="1:5" x14ac:dyDescent="0.3">
      <c r="A108">
        <v>9.4492753623188399</v>
      </c>
      <c r="B108">
        <v>-2.50533807829181</v>
      </c>
      <c r="D108">
        <v>1</v>
      </c>
      <c r="E108">
        <v>-1.9786476868327401</v>
      </c>
    </row>
    <row r="109" spans="1:5" x14ac:dyDescent="0.3">
      <c r="A109">
        <v>9.5362318840579707</v>
      </c>
      <c r="B109">
        <v>-2.1637010676156501</v>
      </c>
      <c r="D109">
        <v>1.1000000000000001</v>
      </c>
      <c r="E109">
        <v>-2.3202846975088902</v>
      </c>
    </row>
    <row r="110" spans="1:5" x14ac:dyDescent="0.3">
      <c r="A110">
        <v>9.6956521739130395</v>
      </c>
      <c r="B110">
        <v>-2.43416370106761</v>
      </c>
      <c r="D110">
        <v>1.2</v>
      </c>
      <c r="E110">
        <v>-2.7330960854092501</v>
      </c>
    </row>
    <row r="111" spans="1:5" x14ac:dyDescent="0.3">
      <c r="A111">
        <v>9.7971014492753596</v>
      </c>
      <c r="B111">
        <v>-2.2633451957295301</v>
      </c>
      <c r="D111">
        <v>1.3</v>
      </c>
      <c r="E111">
        <v>-3.3451957295373602</v>
      </c>
    </row>
    <row r="112" spans="1:5" x14ac:dyDescent="0.3">
      <c r="A112">
        <v>9.9130434782608692</v>
      </c>
      <c r="B112">
        <v>-2.1921708185053301</v>
      </c>
      <c r="D112">
        <v>1.4</v>
      </c>
      <c r="E112">
        <v>-2.9181494661921699</v>
      </c>
    </row>
    <row r="113" spans="1:5" x14ac:dyDescent="0.3">
      <c r="A113">
        <v>10.057971014492701</v>
      </c>
      <c r="B113">
        <v>-1.9928825622775701</v>
      </c>
      <c r="D113">
        <v>1.5</v>
      </c>
      <c r="E113">
        <v>-2.4911032028469702</v>
      </c>
    </row>
    <row r="114" spans="1:5" x14ac:dyDescent="0.3">
      <c r="D114">
        <v>1.6</v>
      </c>
      <c r="E114">
        <v>-2.1637010676156501</v>
      </c>
    </row>
    <row r="115" spans="1:5" x14ac:dyDescent="0.3">
      <c r="D115">
        <v>1.7</v>
      </c>
      <c r="E115">
        <v>-2.43416370106761</v>
      </c>
    </row>
    <row r="116" spans="1:5" x14ac:dyDescent="0.3">
      <c r="D116">
        <v>1.8</v>
      </c>
      <c r="E116">
        <v>-2.2491103202846898</v>
      </c>
    </row>
    <row r="117" spans="1:5" x14ac:dyDescent="0.3">
      <c r="D117">
        <v>1.9</v>
      </c>
      <c r="E117">
        <v>-2.1779359430604899</v>
      </c>
    </row>
    <row r="118" spans="1:5" x14ac:dyDescent="0.3">
      <c r="D118">
        <v>2</v>
      </c>
      <c r="E118">
        <v>-1.9786476868327401</v>
      </c>
    </row>
    <row r="119" spans="1:5" x14ac:dyDescent="0.3">
      <c r="D119">
        <v>2.1</v>
      </c>
      <c r="E119">
        <v>-2.3202846975088902</v>
      </c>
    </row>
    <row r="120" spans="1:5" x14ac:dyDescent="0.3">
      <c r="D120">
        <v>2.2000000000000002</v>
      </c>
      <c r="E120">
        <v>-2.7330960854092501</v>
      </c>
    </row>
    <row r="121" spans="1:5" x14ac:dyDescent="0.3">
      <c r="D121">
        <v>2.2999999999999998</v>
      </c>
      <c r="E121">
        <v>-3.3451957295373602</v>
      </c>
    </row>
    <row r="122" spans="1:5" x14ac:dyDescent="0.3">
      <c r="D122">
        <v>2.4</v>
      </c>
      <c r="E122">
        <v>-2.9181494661921699</v>
      </c>
    </row>
    <row r="123" spans="1:5" x14ac:dyDescent="0.3">
      <c r="D123">
        <v>2.5</v>
      </c>
      <c r="E123">
        <v>-2.4911032028469702</v>
      </c>
    </row>
    <row r="124" spans="1:5" x14ac:dyDescent="0.3">
      <c r="D124">
        <v>2.6</v>
      </c>
      <c r="E124">
        <v>-2.1637010676156501</v>
      </c>
    </row>
    <row r="125" spans="1:5" x14ac:dyDescent="0.3">
      <c r="D125">
        <v>2.7</v>
      </c>
      <c r="E125">
        <v>-2.43416370106761</v>
      </c>
    </row>
    <row r="126" spans="1:5" x14ac:dyDescent="0.3">
      <c r="D126">
        <v>2.8</v>
      </c>
      <c r="E126">
        <v>-2.2491103202846898</v>
      </c>
    </row>
    <row r="127" spans="1:5" x14ac:dyDescent="0.3">
      <c r="D127">
        <v>2.9</v>
      </c>
      <c r="E127">
        <v>-2.1779359430604899</v>
      </c>
    </row>
    <row r="128" spans="1:5" x14ac:dyDescent="0.3">
      <c r="D128">
        <v>3</v>
      </c>
      <c r="E128">
        <v>-1.9786476868327401</v>
      </c>
    </row>
    <row r="129" spans="4:5" x14ac:dyDescent="0.3">
      <c r="D129">
        <v>3.1</v>
      </c>
      <c r="E129">
        <v>-2.3202846975088902</v>
      </c>
    </row>
    <row r="130" spans="4:5" x14ac:dyDescent="0.3">
      <c r="D130">
        <v>3.2</v>
      </c>
      <c r="E130">
        <v>-2.7330960854092501</v>
      </c>
    </row>
    <row r="131" spans="4:5" x14ac:dyDescent="0.3">
      <c r="D131">
        <v>3.3</v>
      </c>
      <c r="E131">
        <v>-3.3451957295373602</v>
      </c>
    </row>
    <row r="132" spans="4:5" x14ac:dyDescent="0.3">
      <c r="D132">
        <v>3.4</v>
      </c>
      <c r="E132">
        <v>-2.9181494661921699</v>
      </c>
    </row>
    <row r="133" spans="4:5" x14ac:dyDescent="0.3">
      <c r="D133">
        <v>3.5</v>
      </c>
      <c r="E133">
        <v>-2.4911032028469702</v>
      </c>
    </row>
    <row r="134" spans="4:5" x14ac:dyDescent="0.3">
      <c r="D134">
        <v>3.6</v>
      </c>
      <c r="E134">
        <v>-2.1637010676156501</v>
      </c>
    </row>
    <row r="135" spans="4:5" x14ac:dyDescent="0.3">
      <c r="D135">
        <v>3.7</v>
      </c>
      <c r="E135">
        <v>-2.43416370106761</v>
      </c>
    </row>
    <row r="136" spans="4:5" x14ac:dyDescent="0.3">
      <c r="D136">
        <v>3.8</v>
      </c>
      <c r="E136">
        <v>-2.2491103202846898</v>
      </c>
    </row>
    <row r="137" spans="4:5" x14ac:dyDescent="0.3">
      <c r="D137">
        <v>3.9</v>
      </c>
      <c r="E137">
        <v>-2.1779359430604899</v>
      </c>
    </row>
    <row r="138" spans="4:5" x14ac:dyDescent="0.3">
      <c r="D138">
        <v>4</v>
      </c>
      <c r="E138">
        <v>-1.9786476868327401</v>
      </c>
    </row>
    <row r="139" spans="4:5" x14ac:dyDescent="0.3">
      <c r="D139">
        <v>4.0999999999999996</v>
      </c>
      <c r="E139">
        <v>-2.3202846975088902</v>
      </c>
    </row>
    <row r="140" spans="4:5" x14ac:dyDescent="0.3">
      <c r="D140">
        <v>4.2</v>
      </c>
      <c r="E140">
        <v>-2.7330960854092501</v>
      </c>
    </row>
    <row r="141" spans="4:5" x14ac:dyDescent="0.3">
      <c r="D141">
        <v>4.3</v>
      </c>
      <c r="E141">
        <v>-3.3451957295373602</v>
      </c>
    </row>
    <row r="142" spans="4:5" x14ac:dyDescent="0.3">
      <c r="D142">
        <v>4.4000000000000004</v>
      </c>
      <c r="E142">
        <v>-2.9181494661921699</v>
      </c>
    </row>
    <row r="143" spans="4:5" x14ac:dyDescent="0.3">
      <c r="D143">
        <v>4.5</v>
      </c>
      <c r="E143">
        <v>-2.4911032028469702</v>
      </c>
    </row>
    <row r="144" spans="4:5" x14ac:dyDescent="0.3">
      <c r="D144">
        <v>4.5999999999999996</v>
      </c>
      <c r="E144">
        <v>-2.1637010676156501</v>
      </c>
    </row>
    <row r="145" spans="4:5" x14ac:dyDescent="0.3">
      <c r="D145">
        <v>4.7</v>
      </c>
      <c r="E145">
        <v>-2.43416370106761</v>
      </c>
    </row>
    <row r="146" spans="4:5" x14ac:dyDescent="0.3">
      <c r="D146">
        <v>4.8</v>
      </c>
      <c r="E146">
        <v>-2.2491103202846898</v>
      </c>
    </row>
    <row r="147" spans="4:5" x14ac:dyDescent="0.3">
      <c r="D147">
        <v>4.9000000000000004</v>
      </c>
      <c r="E147">
        <v>-2.1779359430604899</v>
      </c>
    </row>
    <row r="148" spans="4:5" x14ac:dyDescent="0.3">
      <c r="D148">
        <v>5</v>
      </c>
      <c r="E148">
        <v>-1.9786476868327401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C290-0E3E-44D8-B721-5E0ED3D58C9F}">
  <dimension ref="B2:N18"/>
  <sheetViews>
    <sheetView tabSelected="1" workbookViewId="0">
      <selection activeCell="G9" sqref="G9"/>
    </sheetView>
  </sheetViews>
  <sheetFormatPr defaultRowHeight="14.4" x14ac:dyDescent="0.3"/>
  <sheetData>
    <row r="2" spans="2:14" x14ac:dyDescent="0.3">
      <c r="B2" t="s">
        <v>34</v>
      </c>
      <c r="C2">
        <v>5</v>
      </c>
      <c r="H2" t="s">
        <v>39</v>
      </c>
    </row>
    <row r="3" spans="2:14" x14ac:dyDescent="0.3">
      <c r="G3" t="s">
        <v>40</v>
      </c>
      <c r="I3" t="s">
        <v>43</v>
      </c>
      <c r="K3" t="s">
        <v>44</v>
      </c>
      <c r="M3" t="s">
        <v>45</v>
      </c>
    </row>
    <row r="4" spans="2:14" x14ac:dyDescent="0.3">
      <c r="B4" t="s">
        <v>31</v>
      </c>
      <c r="F4" t="s">
        <v>41</v>
      </c>
      <c r="G4">
        <v>1</v>
      </c>
      <c r="H4" t="s">
        <v>36</v>
      </c>
      <c r="I4">
        <v>1</v>
      </c>
      <c r="J4" t="s">
        <v>36</v>
      </c>
      <c r="K4">
        <v>1</v>
      </c>
      <c r="L4" t="s">
        <v>36</v>
      </c>
      <c r="M4">
        <v>85</v>
      </c>
      <c r="N4" t="s">
        <v>46</v>
      </c>
    </row>
    <row r="5" spans="2:14" x14ac:dyDescent="0.3">
      <c r="B5" t="s">
        <v>27</v>
      </c>
      <c r="C5">
        <f>2^C2</f>
        <v>32</v>
      </c>
      <c r="D5" t="s">
        <v>32</v>
      </c>
      <c r="F5" t="s">
        <v>42</v>
      </c>
      <c r="G5">
        <f>G4/C11</f>
        <v>1.9359999999999997</v>
      </c>
      <c r="I5">
        <f>G5</f>
        <v>1.9359999999999997</v>
      </c>
      <c r="K5">
        <f>I5*(C5/C6)</f>
        <v>61.951999999999991</v>
      </c>
      <c r="M5">
        <v>85</v>
      </c>
    </row>
    <row r="6" spans="2:14" x14ac:dyDescent="0.3">
      <c r="B6" t="s">
        <v>28</v>
      </c>
      <c r="C6">
        <v>1</v>
      </c>
      <c r="D6" t="s">
        <v>33</v>
      </c>
    </row>
    <row r="7" spans="2:14" x14ac:dyDescent="0.3">
      <c r="B7" t="s">
        <v>37</v>
      </c>
      <c r="C7">
        <f>C5/C6</f>
        <v>32</v>
      </c>
      <c r="D7" t="s">
        <v>38</v>
      </c>
      <c r="F7" t="s">
        <v>48</v>
      </c>
      <c r="G7" t="s">
        <v>49</v>
      </c>
      <c r="H7" t="s">
        <v>50</v>
      </c>
      <c r="I7" t="s">
        <v>51</v>
      </c>
      <c r="M7">
        <f>M5/K5</f>
        <v>1.3720299586776861</v>
      </c>
      <c r="N7" t="s">
        <v>47</v>
      </c>
    </row>
    <row r="8" spans="2:14" x14ac:dyDescent="0.3">
      <c r="F8">
        <v>0</v>
      </c>
      <c r="G8">
        <v>0</v>
      </c>
      <c r="H8">
        <f>G8*$C$7</f>
        <v>0</v>
      </c>
      <c r="I8">
        <f>H8*$M$7</f>
        <v>0</v>
      </c>
    </row>
    <row r="9" spans="2:14" x14ac:dyDescent="0.3">
      <c r="B9" t="s">
        <v>29</v>
      </c>
      <c r="C9">
        <v>1.25</v>
      </c>
      <c r="D9" t="s">
        <v>6</v>
      </c>
      <c r="F9">
        <v>0.1</v>
      </c>
      <c r="G9">
        <f>F9/$C$11</f>
        <v>0.19359999999999999</v>
      </c>
      <c r="H9">
        <f t="shared" ref="H9:H18" si="0">G9*$C$7</f>
        <v>6.1951999999999998</v>
      </c>
      <c r="I9">
        <f t="shared" ref="I9:I18" si="1">H9*$M$7</f>
        <v>8.5</v>
      </c>
    </row>
    <row r="10" spans="2:14" x14ac:dyDescent="0.3">
      <c r="B10" t="s">
        <v>30</v>
      </c>
      <c r="C10">
        <v>2.42</v>
      </c>
      <c r="D10" t="s">
        <v>3</v>
      </c>
      <c r="F10">
        <v>0.2</v>
      </c>
      <c r="G10">
        <f t="shared" ref="G10:G18" si="2">F10/$C$11</f>
        <v>0.38719999999999999</v>
      </c>
      <c r="H10">
        <f t="shared" si="0"/>
        <v>12.3904</v>
      </c>
      <c r="I10">
        <f t="shared" si="1"/>
        <v>17</v>
      </c>
    </row>
    <row r="11" spans="2:14" x14ac:dyDescent="0.3">
      <c r="B11" t="s">
        <v>35</v>
      </c>
      <c r="C11">
        <f>C9/C10</f>
        <v>0.51652892561983477</v>
      </c>
      <c r="D11" t="s">
        <v>36</v>
      </c>
      <c r="F11">
        <v>0.3</v>
      </c>
      <c r="G11">
        <f t="shared" si="2"/>
        <v>0.58079999999999987</v>
      </c>
      <c r="H11">
        <f t="shared" si="0"/>
        <v>18.585599999999996</v>
      </c>
      <c r="I11">
        <f t="shared" si="1"/>
        <v>25.499999999999996</v>
      </c>
    </row>
    <row r="12" spans="2:14" x14ac:dyDescent="0.3">
      <c r="F12">
        <v>0.4</v>
      </c>
      <c r="G12">
        <f t="shared" si="2"/>
        <v>0.77439999999999998</v>
      </c>
      <c r="H12">
        <f t="shared" si="0"/>
        <v>24.780799999999999</v>
      </c>
      <c r="I12">
        <f t="shared" si="1"/>
        <v>34</v>
      </c>
    </row>
    <row r="13" spans="2:14" x14ac:dyDescent="0.3">
      <c r="F13">
        <v>0.5</v>
      </c>
      <c r="G13">
        <f t="shared" si="2"/>
        <v>0.96799999999999986</v>
      </c>
      <c r="H13">
        <f t="shared" si="0"/>
        <v>30.975999999999996</v>
      </c>
      <c r="I13">
        <f t="shared" si="1"/>
        <v>42.5</v>
      </c>
    </row>
    <row r="14" spans="2:14" x14ac:dyDescent="0.3">
      <c r="F14">
        <v>0.6</v>
      </c>
      <c r="G14">
        <f t="shared" si="2"/>
        <v>1.1615999999999997</v>
      </c>
      <c r="H14">
        <f t="shared" si="0"/>
        <v>37.171199999999992</v>
      </c>
      <c r="I14">
        <f t="shared" si="1"/>
        <v>50.999999999999993</v>
      </c>
    </row>
    <row r="15" spans="2:14" x14ac:dyDescent="0.3">
      <c r="F15">
        <v>0.7</v>
      </c>
      <c r="G15">
        <f t="shared" si="2"/>
        <v>1.3551999999999997</v>
      </c>
      <c r="H15">
        <f t="shared" si="0"/>
        <v>43.366399999999992</v>
      </c>
      <c r="I15">
        <f t="shared" si="1"/>
        <v>59.499999999999993</v>
      </c>
    </row>
    <row r="16" spans="2:14" x14ac:dyDescent="0.3">
      <c r="F16">
        <v>0.8</v>
      </c>
      <c r="G16">
        <f t="shared" si="2"/>
        <v>1.5488</v>
      </c>
      <c r="H16">
        <f t="shared" si="0"/>
        <v>49.561599999999999</v>
      </c>
      <c r="I16">
        <f t="shared" si="1"/>
        <v>68</v>
      </c>
    </row>
    <row r="17" spans="6:9" x14ac:dyDescent="0.3">
      <c r="F17">
        <v>0.9</v>
      </c>
      <c r="G17">
        <f t="shared" si="2"/>
        <v>1.7423999999999999</v>
      </c>
      <c r="H17">
        <f t="shared" si="0"/>
        <v>55.756799999999998</v>
      </c>
      <c r="I17">
        <f t="shared" si="1"/>
        <v>76.5</v>
      </c>
    </row>
    <row r="18" spans="6:9" x14ac:dyDescent="0.3">
      <c r="F18">
        <v>1</v>
      </c>
      <c r="G18">
        <f t="shared" si="2"/>
        <v>1.9359999999999997</v>
      </c>
      <c r="H18">
        <f t="shared" si="0"/>
        <v>61.951999999999991</v>
      </c>
      <c r="I18">
        <f t="shared" si="1"/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Exp Results</vt:lpstr>
      <vt:lpstr>CFD Results</vt:lpstr>
      <vt:lpstr>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van der Weide</dc:creator>
  <cp:lastModifiedBy>Evan van der Weide</cp:lastModifiedBy>
  <dcterms:created xsi:type="dcterms:W3CDTF">2025-11-12T09:54:55Z</dcterms:created>
  <dcterms:modified xsi:type="dcterms:W3CDTF">2025-12-16T16:55:00Z</dcterms:modified>
</cp:coreProperties>
</file>